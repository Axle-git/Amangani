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Night Audit\Employees\Alex\"/>
    </mc:Choice>
  </mc:AlternateContent>
  <bookViews>
    <workbookView xWindow="0" yWindow="0" windowWidth="23040" windowHeight="9192" activeTab="1"/>
  </bookViews>
  <sheets>
    <sheet name="Status Sheet" sheetId="4" r:id="rId1"/>
    <sheet name="Dep,Arr,Act" sheetId="1" r:id="rId2"/>
    <sheet name="Departures" sheetId="2" r:id="rId3"/>
    <sheet name="Arrivals" sheetId="6" r:id="rId4"/>
    <sheet name="New Status Sheet" sheetId="9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4" l="1"/>
  <c r="G12" i="1" l="1"/>
  <c r="G13" i="1"/>
  <c r="G14" i="1"/>
  <c r="G15" i="1"/>
  <c r="G16" i="1"/>
  <c r="G17" i="1"/>
  <c r="G18" i="1"/>
  <c r="G19" i="1"/>
  <c r="G20" i="1"/>
  <c r="G21" i="1"/>
  <c r="G22" i="1"/>
  <c r="G23" i="1"/>
  <c r="G24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J5" i="1" l="1"/>
  <c r="K5" i="1" s="1"/>
  <c r="L5" i="1"/>
  <c r="M5" i="1"/>
  <c r="N5" i="1"/>
  <c r="O5" i="1"/>
  <c r="J6" i="1"/>
  <c r="K6" i="1" s="1"/>
  <c r="L6" i="1"/>
  <c r="M6" i="1"/>
  <c r="N6" i="1"/>
  <c r="O6" i="1"/>
  <c r="J7" i="1"/>
  <c r="K7" i="1" s="1"/>
  <c r="L7" i="1"/>
  <c r="M7" i="1"/>
  <c r="N7" i="1"/>
  <c r="O7" i="1"/>
  <c r="J8" i="1"/>
  <c r="K8" i="1" s="1"/>
  <c r="L8" i="1"/>
  <c r="M8" i="1"/>
  <c r="N8" i="1"/>
  <c r="O8" i="1"/>
  <c r="J9" i="1"/>
  <c r="K9" i="1" s="1"/>
  <c r="L9" i="1"/>
  <c r="M9" i="1"/>
  <c r="N9" i="1"/>
  <c r="O9" i="1"/>
  <c r="J10" i="1"/>
  <c r="K10" i="1" s="1"/>
  <c r="L10" i="1"/>
  <c r="M10" i="1"/>
  <c r="N10" i="1"/>
  <c r="O10" i="1"/>
  <c r="J11" i="1"/>
  <c r="K11" i="1" s="1"/>
  <c r="L11" i="1"/>
  <c r="M11" i="1"/>
  <c r="N11" i="1"/>
  <c r="O11" i="1"/>
  <c r="H23" i="1" l="1"/>
  <c r="H24" i="1"/>
  <c r="H22" i="1"/>
  <c r="H19" i="1"/>
  <c r="H20" i="1"/>
  <c r="H21" i="1"/>
  <c r="H17" i="1"/>
  <c r="H18" i="1"/>
  <c r="H8" i="1"/>
  <c r="H9" i="1"/>
  <c r="H10" i="1"/>
  <c r="H11" i="1"/>
  <c r="H12" i="1"/>
  <c r="H13" i="1"/>
  <c r="H14" i="1"/>
  <c r="H15" i="1"/>
  <c r="H16" i="1"/>
  <c r="H7" i="1"/>
  <c r="H6" i="1"/>
  <c r="H5" i="1"/>
  <c r="O24" i="1"/>
  <c r="O23" i="1"/>
  <c r="O22" i="1"/>
  <c r="O19" i="1"/>
  <c r="O20" i="1"/>
  <c r="O21" i="1"/>
  <c r="O13" i="1"/>
  <c r="O14" i="1"/>
  <c r="O15" i="1"/>
  <c r="O16" i="1"/>
  <c r="O17" i="1"/>
  <c r="O18" i="1"/>
  <c r="O12" i="1"/>
  <c r="N24" i="1"/>
  <c r="N23" i="1"/>
  <c r="N22" i="1"/>
  <c r="N20" i="1"/>
  <c r="N21" i="1"/>
  <c r="N17" i="1"/>
  <c r="N18" i="1"/>
  <c r="N19" i="1"/>
  <c r="N14" i="1"/>
  <c r="N15" i="1"/>
  <c r="N16" i="1"/>
  <c r="N12" i="1"/>
  <c r="N13" i="1"/>
  <c r="M24" i="1"/>
  <c r="M23" i="1"/>
  <c r="M22" i="1"/>
  <c r="M20" i="1"/>
  <c r="M21" i="1"/>
  <c r="M16" i="1"/>
  <c r="M17" i="1"/>
  <c r="M18" i="1"/>
  <c r="M19" i="1"/>
  <c r="M12" i="1"/>
  <c r="M13" i="1"/>
  <c r="M14" i="1"/>
  <c r="M15" i="1"/>
  <c r="L24" i="1"/>
  <c r="L23" i="1"/>
  <c r="L22" i="1"/>
  <c r="L20" i="1"/>
  <c r="L21" i="1"/>
  <c r="L15" i="1"/>
  <c r="L16" i="1"/>
  <c r="L17" i="1"/>
  <c r="L18" i="1"/>
  <c r="L19" i="1"/>
  <c r="L12" i="1"/>
  <c r="L13" i="1"/>
  <c r="L14" i="1"/>
  <c r="J24" i="1" l="1"/>
  <c r="K24" i="1" s="1"/>
  <c r="J23" i="1"/>
  <c r="K23" i="1" s="1"/>
  <c r="J22" i="1"/>
  <c r="K22" i="1" s="1"/>
  <c r="J21" i="1"/>
  <c r="K21" i="1" s="1"/>
  <c r="J20" i="1"/>
  <c r="K20" i="1" s="1"/>
  <c r="J19" i="1"/>
  <c r="K19" i="1" s="1"/>
  <c r="J18" i="1"/>
  <c r="K18" i="1" s="1"/>
  <c r="J17" i="1"/>
  <c r="K17" i="1" s="1"/>
  <c r="J16" i="1"/>
  <c r="K16" i="1" s="1"/>
  <c r="J15" i="1"/>
  <c r="K15" i="1" s="1"/>
  <c r="J14" i="1"/>
  <c r="K14" i="1" s="1"/>
  <c r="J13" i="1"/>
  <c r="K13" i="1" s="1"/>
  <c r="J12" i="1"/>
  <c r="K12" i="1" s="1"/>
  <c r="F24" i="1"/>
  <c r="F14" i="1"/>
  <c r="F8" i="1"/>
  <c r="F9" i="1"/>
  <c r="F10" i="1"/>
  <c r="F11" i="1"/>
  <c r="F12" i="1"/>
  <c r="F13" i="1"/>
  <c r="F15" i="1"/>
  <c r="F16" i="1"/>
  <c r="F17" i="1"/>
  <c r="F18" i="1"/>
  <c r="F19" i="1"/>
  <c r="F20" i="1"/>
  <c r="F21" i="1"/>
  <c r="F22" i="1"/>
  <c r="F23" i="1"/>
  <c r="E24" i="1"/>
  <c r="E23" i="1"/>
  <c r="E22" i="1"/>
  <c r="E21" i="1"/>
  <c r="E20" i="1"/>
  <c r="E19" i="1"/>
  <c r="E18" i="1"/>
  <c r="E17" i="1"/>
  <c r="E16" i="1"/>
  <c r="E15" i="1"/>
  <c r="E14" i="1"/>
  <c r="F7" i="1"/>
  <c r="F6" i="1"/>
  <c r="F5" i="1"/>
  <c r="E6" i="1"/>
  <c r="E7" i="1"/>
  <c r="E8" i="1"/>
  <c r="E9" i="1"/>
  <c r="E10" i="1"/>
  <c r="E11" i="1"/>
  <c r="E12" i="1"/>
  <c r="E13" i="1"/>
  <c r="E5" i="1"/>
  <c r="A5" i="1"/>
  <c r="D24" i="1"/>
  <c r="D23" i="1"/>
  <c r="D22" i="1"/>
  <c r="D21" i="1"/>
  <c r="D20" i="1"/>
  <c r="D19" i="1"/>
  <c r="D18" i="1"/>
  <c r="D17" i="1"/>
  <c r="D16" i="1"/>
  <c r="D5" i="1"/>
  <c r="D15" i="1"/>
  <c r="D14" i="1"/>
  <c r="D13" i="1"/>
  <c r="D12" i="1"/>
  <c r="D11" i="1"/>
  <c r="D10" i="1"/>
  <c r="D9" i="1"/>
  <c r="D8" i="1"/>
  <c r="D7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G10" i="1" l="1"/>
  <c r="C10" i="1"/>
  <c r="G7" i="1"/>
  <c r="C7" i="1"/>
  <c r="G11" i="1"/>
  <c r="C11" i="1"/>
  <c r="G8" i="1"/>
  <c r="C8" i="1"/>
  <c r="C5" i="1"/>
  <c r="G5" i="1"/>
  <c r="G9" i="1"/>
  <c r="C9" i="1"/>
  <c r="D6" i="1"/>
  <c r="A6" i="1"/>
  <c r="B11" i="1"/>
  <c r="B15" i="1"/>
  <c r="B16" i="1"/>
  <c r="B19" i="1"/>
  <c r="B20" i="1"/>
  <c r="B23" i="1"/>
  <c r="B24" i="1"/>
  <c r="G6" i="1" l="1"/>
  <c r="C6" i="1"/>
  <c r="B7" i="1"/>
  <c r="B12" i="1"/>
  <c r="B8" i="1"/>
  <c r="B22" i="1"/>
  <c r="B18" i="1"/>
  <c r="B14" i="1"/>
  <c r="B10" i="1"/>
  <c r="B6" i="1"/>
  <c r="B5" i="1"/>
  <c r="B21" i="1"/>
  <c r="B17" i="1"/>
  <c r="B13" i="1"/>
  <c r="B9" i="1"/>
  <c r="A1" i="1"/>
</calcChain>
</file>

<file path=xl/sharedStrings.xml><?xml version="1.0" encoding="utf-8"?>
<sst xmlns="http://schemas.openxmlformats.org/spreadsheetml/2006/main" count="294" uniqueCount="145">
  <si>
    <t>DEPARTURES</t>
  </si>
  <si>
    <t>Room</t>
  </si>
  <si>
    <t>*</t>
  </si>
  <si>
    <t>Guest Name</t>
  </si>
  <si>
    <t>Dep Time</t>
  </si>
  <si>
    <t>Flight #</t>
  </si>
  <si>
    <t>Flight Time</t>
  </si>
  <si>
    <t>Pgrm(s)</t>
  </si>
  <si>
    <t>Remarks</t>
  </si>
  <si>
    <t>ARRIVALS</t>
  </si>
  <si>
    <t>Trans</t>
  </si>
  <si>
    <t>Arr Time</t>
  </si>
  <si>
    <t>R</t>
  </si>
  <si>
    <t>TBA</t>
  </si>
  <si>
    <t>US</t>
  </si>
  <si>
    <t>AM MOD:</t>
  </si>
  <si>
    <t>SHOWROOM:</t>
  </si>
  <si>
    <t xml:space="preserve">PM MOD: </t>
  </si>
  <si>
    <t>READY ROOM:</t>
  </si>
  <si>
    <t xml:space="preserve">Date:        </t>
  </si>
  <si>
    <t>Occupancy:</t>
  </si>
  <si>
    <t>Depart/Arrive:</t>
  </si>
  <si>
    <t>EGT</t>
  </si>
  <si>
    <t>SKM</t>
  </si>
  <si>
    <t>UNDI</t>
  </si>
  <si>
    <t xml:space="preserve">AB / </t>
  </si>
  <si>
    <t>DKM</t>
  </si>
  <si>
    <t>ESH</t>
  </si>
  <si>
    <t>ESE</t>
  </si>
  <si>
    <t>ESG</t>
  </si>
  <si>
    <t>EGV</t>
  </si>
  <si>
    <t>EAM</t>
  </si>
  <si>
    <t>Home 1</t>
  </si>
  <si>
    <t>TAYLOR, M/M Tori &amp; Reed</t>
  </si>
  <si>
    <t>Homeowner</t>
  </si>
  <si>
    <t>Home 4</t>
  </si>
  <si>
    <t>KUMAR, Mr Rishi/YING, Ms Qian</t>
  </si>
  <si>
    <t>Home 5</t>
  </si>
  <si>
    <t>TAYLOR, M/M Tom &amp; Linda</t>
  </si>
  <si>
    <t>WY</t>
  </si>
  <si>
    <t>Home 10</t>
  </si>
  <si>
    <t>SYBERT, M/M Daryl &amp; Deb, Mr Ollie( )</t>
  </si>
  <si>
    <t>2+4</t>
  </si>
  <si>
    <t>Home</t>
  </si>
  <si>
    <t>Home 15</t>
  </si>
  <si>
    <t>MCJUNKIN, M/M Karen &amp; John</t>
  </si>
  <si>
    <t>Home 17</t>
  </si>
  <si>
    <t>SILVERBERG, M/M</t>
  </si>
  <si>
    <t>Home 20</t>
  </si>
  <si>
    <t>PALMER, M/M Lynn &amp; Tim</t>
  </si>
  <si>
    <t>Home 22</t>
  </si>
  <si>
    <t>CORNALI, Mr Claudio/CHOI, Ms Julie</t>
  </si>
  <si>
    <t>Home 28</t>
  </si>
  <si>
    <t>SCHILLING, M/M Andy &amp; Leslie</t>
  </si>
  <si>
    <t>Indicates departure room</t>
  </si>
  <si>
    <t>Indicates Red Flag</t>
  </si>
  <si>
    <t>OWN</t>
  </si>
  <si>
    <t>O</t>
  </si>
  <si>
    <t>Arrival Date</t>
  </si>
  <si>
    <t>SHIM, Jean</t>
  </si>
  <si>
    <t>Guest</t>
  </si>
  <si>
    <t>Departure Date</t>
  </si>
  <si>
    <t>Trnsf</t>
  </si>
  <si>
    <t>Drop Off</t>
  </si>
  <si>
    <t>Flt Time</t>
  </si>
  <si>
    <t>Nationality</t>
  </si>
  <si>
    <t>Departure</t>
  </si>
  <si>
    <t>Adults</t>
  </si>
  <si>
    <t>Children</t>
  </si>
  <si>
    <t>Party</t>
  </si>
  <si>
    <t>Group</t>
  </si>
  <si>
    <t>Comments</t>
  </si>
  <si>
    <t>Pick Up</t>
  </si>
  <si>
    <t>Arrival Comment</t>
  </si>
  <si>
    <t>own</t>
  </si>
  <si>
    <t>JANES, Ms Anna</t>
  </si>
  <si>
    <t>AB</t>
  </si>
  <si>
    <t>CLOSED FOR SEASON</t>
  </si>
  <si>
    <t>30</t>
  </si>
  <si>
    <t>AHN, M/M Gregory &amp; Madigan</t>
  </si>
  <si>
    <t>LUMPKIN, Mr Charles / Mrs Angelika</t>
  </si>
  <si>
    <t>RIEDMAN, Mr James / GUEST</t>
  </si>
  <si>
    <t>DL2533</t>
  </si>
  <si>
    <t>FHR</t>
  </si>
  <si>
    <r>
      <t xml:space="preserve">ARRIVALS:   </t>
    </r>
    <r>
      <rPr>
        <b/>
        <sz val="14"/>
        <rFont val="Arial Narrow"/>
        <family val="2"/>
      </rPr>
      <t xml:space="preserve"> 4 </t>
    </r>
    <r>
      <rPr>
        <sz val="14"/>
        <rFont val="Arial Narrow"/>
        <family val="2"/>
      </rPr>
      <t xml:space="preserve">       </t>
    </r>
    <r>
      <rPr>
        <b/>
        <sz val="14"/>
        <rFont val="Arial Narrow"/>
        <family val="2"/>
      </rPr>
      <t xml:space="preserve"> </t>
    </r>
    <r>
      <rPr>
        <sz val="14"/>
        <rFont val="Arial Narrow"/>
        <family val="2"/>
      </rPr>
      <t xml:space="preserve">            S Wing supervisor:</t>
    </r>
  </si>
  <si>
    <t>16/40%</t>
  </si>
  <si>
    <t>4/0</t>
  </si>
  <si>
    <t>AB / Birthday</t>
  </si>
  <si>
    <t>BAIRD, Ms Erica / Ms Jesse (daughter)</t>
  </si>
  <si>
    <t>MCKENNA, Mr Patrick / NEWMAN, Ms Emily</t>
  </si>
  <si>
    <t>HAO, Mr Ziyang / GUEST</t>
  </si>
  <si>
    <t>19/47.5%</t>
  </si>
  <si>
    <t>Ting, YoonSung</t>
  </si>
  <si>
    <t>Suburban</t>
  </si>
  <si>
    <t>Friedman, Jonathan</t>
  </si>
  <si>
    <t>Cobb, Jennifer</t>
  </si>
  <si>
    <t>Pikus, Matthew</t>
  </si>
  <si>
    <t>Kline, Robert</t>
  </si>
  <si>
    <t>rental</t>
  </si>
  <si>
    <t>Vardi, Shawn</t>
  </si>
  <si>
    <t>1345040 ZABNER, ZAC</t>
  </si>
  <si>
    <t>Scola, Francis</t>
  </si>
  <si>
    <t>Zabner, Zac</t>
  </si>
  <si>
    <t>NEMETH, Ms Madison / DUNN, Mr Chris</t>
  </si>
  <si>
    <t>Engaged (4-4)</t>
  </si>
  <si>
    <t>AB / 2 x twin mattresses / Jesse 40th bday</t>
  </si>
  <si>
    <t>Good ol' Nick L.</t>
  </si>
  <si>
    <r>
      <t>Precipitation:</t>
    </r>
    <r>
      <rPr>
        <b/>
        <sz val="14"/>
        <rFont val="Arial"/>
        <family val="2"/>
      </rPr>
      <t xml:space="preserve"> 50%</t>
    </r>
  </si>
  <si>
    <r>
      <t xml:space="preserve">Sunrise: </t>
    </r>
    <r>
      <rPr>
        <b/>
        <sz val="14"/>
        <rFont val="Arial"/>
        <family val="2"/>
      </rPr>
      <t>6:57</t>
    </r>
    <r>
      <rPr>
        <b/>
        <sz val="14"/>
        <rFont val="Arial Narrow"/>
        <family val="2"/>
      </rPr>
      <t xml:space="preserve">                   </t>
    </r>
    <r>
      <rPr>
        <sz val="14"/>
        <rFont val="Arial Narrow"/>
        <family val="2"/>
      </rPr>
      <t xml:space="preserve">Sunset: </t>
    </r>
    <r>
      <rPr>
        <b/>
        <sz val="14"/>
        <rFont val="Arial"/>
        <family val="2"/>
      </rPr>
      <t>19:54</t>
    </r>
  </si>
  <si>
    <r>
      <t xml:space="preserve">Occupied Rooms: 12     Paid Rooms: 12    Comp Rooms:  0    </t>
    </r>
    <r>
      <rPr>
        <b/>
        <i/>
        <sz val="14"/>
        <rFont val="Arial Narrow"/>
        <family val="2"/>
      </rPr>
      <t>OOO/OOS: 11</t>
    </r>
    <r>
      <rPr>
        <b/>
        <sz val="14"/>
        <rFont val="Arial Narrow"/>
        <family val="2"/>
      </rPr>
      <t xml:space="preserve">     Occupancy: 30%                                                               </t>
    </r>
  </si>
  <si>
    <t>Unoccupied Rooms: 1,3,4,16,22,23,24,26,28,30,35,36,37,38,39,40,41</t>
  </si>
  <si>
    <r>
      <t xml:space="preserve">DEPARTURES:  </t>
    </r>
    <r>
      <rPr>
        <b/>
        <sz val="14"/>
        <rFont val="Arial Narrow"/>
        <family val="2"/>
      </rPr>
      <t>7</t>
    </r>
  </si>
  <si>
    <r>
      <t xml:space="preserve">Weather: </t>
    </r>
    <r>
      <rPr>
        <b/>
        <sz val="14"/>
        <rFont val="Arial"/>
        <family val="2"/>
      </rPr>
      <t>Cloudy / Snowy</t>
    </r>
    <r>
      <rPr>
        <b/>
        <sz val="14"/>
        <rFont val="Arial Narrow"/>
        <family val="2"/>
      </rPr>
      <t xml:space="preserve">    </t>
    </r>
    <r>
      <rPr>
        <sz val="14"/>
        <rFont val="Arial Narrow"/>
        <family val="2"/>
      </rPr>
      <t xml:space="preserve">High / Low : </t>
    </r>
    <r>
      <rPr>
        <b/>
        <sz val="14"/>
        <rFont val="Arial Narrow"/>
        <family val="2"/>
      </rPr>
      <t>31 / 13</t>
    </r>
  </si>
  <si>
    <t>KLINE, Mr Robert &amp; BOLAND, Ms Alyssa</t>
  </si>
  <si>
    <t xml:space="preserve">TING, M/M Jason &amp;  YoonSung / Ms Olivia (10) </t>
  </si>
  <si>
    <t>2 + 1</t>
  </si>
  <si>
    <t>AB / Serivce dog (Kona)</t>
  </si>
  <si>
    <t>FRIEDMAN, Mr Jonathan</t>
  </si>
  <si>
    <t>AB / with A34</t>
  </si>
  <si>
    <t>FRIEDMAN, Ms Alley (daughter)</t>
  </si>
  <si>
    <t>AB / with A33</t>
  </si>
  <si>
    <t>McKenna, Patrick</t>
  </si>
  <si>
    <t>DL2846</t>
  </si>
  <si>
    <t>SUBURBAN-4pax</t>
  </si>
  <si>
    <t>Hao, Ziyang</t>
  </si>
  <si>
    <t>AS3316</t>
  </si>
  <si>
    <t>Riedman, James</t>
  </si>
  <si>
    <t>Lumpkin, Charles</t>
  </si>
  <si>
    <t>HORNGRAD, Mr Douglas Ilan</t>
  </si>
  <si>
    <t>Daybed / Return () / Skin allergic to rubber</t>
  </si>
  <si>
    <t>5**</t>
  </si>
  <si>
    <t>FAIRWEATHER, Mr Anthony / GUEST</t>
  </si>
  <si>
    <t>SCOLA, Mr Francis / Ms Victoria</t>
  </si>
  <si>
    <t>COMP</t>
  </si>
  <si>
    <t>Return (JEN)</t>
  </si>
  <si>
    <t>VARDI, Mr Shawn / WIFE (pregnant)</t>
  </si>
  <si>
    <t>AB / with A24</t>
  </si>
  <si>
    <t>ZABNER, Mr Zac / GUEST</t>
  </si>
  <si>
    <t>AB / with A23</t>
  </si>
  <si>
    <t>GILLIAM, Mr Tyler &amp; TIMMER, Ms Zoe</t>
  </si>
  <si>
    <t>31**</t>
  </si>
  <si>
    <t>33**</t>
  </si>
  <si>
    <t>34**</t>
  </si>
  <si>
    <t>STARKS, M/M Dan &amp; Cynthia</t>
  </si>
  <si>
    <t xml:space="preserve">Return () /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</si>
</sst>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800]dddd\,\ mmmm\ dd\,\ yyyy"/>
    <numFmt numFmtId="165" formatCode="h:mm;@"/>
    <numFmt numFmtId="166" formatCode="mm/dd/yy;@"/>
    <numFmt numFmtId="167" formatCode="m/d;@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4"/>
      <name val="Arial Narrow"/>
      <family val="2"/>
    </font>
    <font>
      <b/>
      <sz val="14"/>
      <name val="Arial Narrow"/>
      <family val="2"/>
    </font>
    <font>
      <sz val="14"/>
      <name val="Arial"/>
      <family val="2"/>
    </font>
    <font>
      <sz val="12"/>
      <name val="Arial Narrow"/>
      <family val="2"/>
    </font>
    <font>
      <sz val="11"/>
      <name val="Arial Narrow"/>
      <family val="2"/>
    </font>
    <font>
      <sz val="12"/>
      <name val="Arial"/>
      <family val="2"/>
    </font>
    <font>
      <sz val="13"/>
      <name val="Arial Narrow"/>
      <family val="2"/>
    </font>
    <font>
      <sz val="13"/>
      <name val="Arial"/>
      <family val="2"/>
    </font>
    <font>
      <sz val="10"/>
      <name val="Arial Narrow"/>
      <family val="2"/>
    </font>
    <font>
      <sz val="11"/>
      <name val="Arial"/>
      <family val="2"/>
    </font>
    <font>
      <sz val="13"/>
      <color indexed="8"/>
      <name val="Arial"/>
      <family val="2"/>
    </font>
    <font>
      <u/>
      <sz val="14"/>
      <name val="Arial Narrow"/>
      <family val="2"/>
    </font>
    <font>
      <sz val="11"/>
      <color theme="1"/>
      <name val="Calibri"/>
      <family val="2"/>
      <scheme val="minor"/>
    </font>
    <font>
      <u/>
      <sz val="7"/>
      <color rgb="FF000000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sz val="7"/>
      <color theme="1"/>
      <name val="Arial"/>
      <family val="2"/>
    </font>
    <font>
      <sz val="8"/>
      <color theme="1"/>
      <name val="Arial"/>
      <family val="2"/>
    </font>
    <font>
      <b/>
      <i/>
      <sz val="14"/>
      <name val="Arial Narrow"/>
      <family val="2"/>
    </font>
    <font>
      <i/>
      <sz val="14"/>
      <name val="Arial"/>
      <family val="2"/>
    </font>
    <font>
      <b/>
      <sz val="13"/>
      <name val="Arial"/>
      <family val="2"/>
    </font>
    <font>
      <sz val="14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20" fillId="0" borderId="0" applyFont="0" applyFill="0" applyBorder="0" applyAlignment="0" applyProtection="0"/>
  </cellStyleXfs>
  <cellXfs count="399">
    <xf numFmtId="0" fontId="0" fillId="0" borderId="0" xfId="0"/>
    <xf numFmtId="0" fontId="3" fillId="2" borderId="0" xfId="1" applyFont="1" applyFill="1" applyBorder="1" applyAlignment="1">
      <alignment horizontal="left" vertical="center"/>
    </xf>
    <xf numFmtId="0" fontId="4" fillId="2" borderId="0" xfId="1" applyFont="1" applyFill="1" applyBorder="1" applyAlignment="1">
      <alignment vertical="center"/>
    </xf>
    <xf numFmtId="164" fontId="2" fillId="2" borderId="0" xfId="1" applyNumberFormat="1" applyFont="1" applyFill="1" applyBorder="1" applyAlignment="1">
      <alignment horizontal="left" vertical="center" wrapText="1"/>
    </xf>
    <xf numFmtId="164" fontId="5" fillId="2" borderId="0" xfId="1" applyNumberFormat="1" applyFont="1" applyFill="1" applyBorder="1" applyAlignment="1">
      <alignment horizontal="left" vertical="center" wrapText="1"/>
    </xf>
    <xf numFmtId="0" fontId="5" fillId="0" borderId="0" xfId="1" applyFont="1" applyFill="1" applyBorder="1" applyAlignment="1">
      <alignment horizontal="left"/>
    </xf>
    <xf numFmtId="0" fontId="6" fillId="0" borderId="0" xfId="1" applyFont="1" applyFill="1" applyBorder="1"/>
    <xf numFmtId="0" fontId="5" fillId="0" borderId="0" xfId="1" applyFont="1" applyFill="1" applyBorder="1"/>
    <xf numFmtId="0" fontId="7" fillId="0" borderId="0" xfId="1" applyFont="1" applyFill="1" applyBorder="1"/>
    <xf numFmtId="0" fontId="1" fillId="2" borderId="0" xfId="1" applyFill="1" applyBorder="1"/>
    <xf numFmtId="0" fontId="1" fillId="3" borderId="0" xfId="1" applyFill="1" applyBorder="1"/>
    <xf numFmtId="0" fontId="5" fillId="4" borderId="1" xfId="1" applyFont="1" applyFill="1" applyBorder="1" applyAlignment="1">
      <alignment horizontal="center" vertical="center"/>
    </xf>
    <xf numFmtId="0" fontId="8" fillId="0" borderId="1" xfId="1" applyFont="1" applyFill="1" applyBorder="1" applyAlignment="1">
      <alignment vertical="center"/>
    </xf>
    <xf numFmtId="0" fontId="5" fillId="4" borderId="1" xfId="1" applyFont="1" applyFill="1" applyBorder="1" applyAlignment="1">
      <alignment horizontal="left" vertical="center" wrapText="1"/>
    </xf>
    <xf numFmtId="0" fontId="5" fillId="4" borderId="1" xfId="1" applyFont="1" applyFill="1" applyBorder="1" applyAlignment="1">
      <alignment horizontal="center" vertical="center" wrapText="1"/>
    </xf>
    <xf numFmtId="20" fontId="5" fillId="4" borderId="3" xfId="1" applyNumberFormat="1" applyFont="1" applyFill="1" applyBorder="1" applyAlignment="1">
      <alignment horizontal="center" vertical="center"/>
    </xf>
    <xf numFmtId="0" fontId="5" fillId="4" borderId="3" xfId="1" applyFont="1" applyFill="1" applyBorder="1" applyAlignment="1">
      <alignment horizontal="center" vertical="center"/>
    </xf>
    <xf numFmtId="0" fontId="5" fillId="4" borderId="3" xfId="1" applyFont="1" applyFill="1" applyBorder="1" applyAlignment="1">
      <alignment horizontal="left" vertical="center" wrapText="1"/>
    </xf>
    <xf numFmtId="0" fontId="9" fillId="0" borderId="4" xfId="1" applyFont="1" applyFill="1" applyBorder="1" applyAlignment="1">
      <alignment vertical="center"/>
    </xf>
    <xf numFmtId="0" fontId="9" fillId="0" borderId="3" xfId="1" applyFont="1" applyFill="1" applyBorder="1" applyAlignment="1">
      <alignment vertical="center"/>
    </xf>
    <xf numFmtId="0" fontId="5" fillId="4" borderId="3" xfId="1" applyFont="1" applyFill="1" applyBorder="1" applyAlignment="1">
      <alignment horizontal="left" vertical="center"/>
    </xf>
    <xf numFmtId="0" fontId="10" fillId="0" borderId="0" xfId="1" applyFont="1" applyFill="1" applyBorder="1" applyAlignment="1">
      <alignment horizontal="left" vertical="center"/>
    </xf>
    <xf numFmtId="0" fontId="10" fillId="0" borderId="0" xfId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left" vertical="center" wrapText="1"/>
    </xf>
    <xf numFmtId="20" fontId="10" fillId="0" borderId="0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left" vertical="center"/>
    </xf>
    <xf numFmtId="0" fontId="5" fillId="2" borderId="3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left" vertical="center" wrapText="1"/>
    </xf>
    <xf numFmtId="0" fontId="5" fillId="2" borderId="3" xfId="1" applyFont="1" applyFill="1" applyBorder="1" applyAlignment="1">
      <alignment horizontal="center" vertical="center" wrapText="1"/>
    </xf>
    <xf numFmtId="0" fontId="8" fillId="2" borderId="0" xfId="1" applyFont="1" applyFill="1" applyBorder="1" applyAlignment="1">
      <alignment vertical="center"/>
    </xf>
    <xf numFmtId="14" fontId="11" fillId="2" borderId="1" xfId="1" quotePrefix="1" applyNumberFormat="1" applyFont="1" applyFill="1" applyBorder="1" applyAlignment="1">
      <alignment horizontal="center" vertical="center" wrapText="1"/>
    </xf>
    <xf numFmtId="0" fontId="8" fillId="2" borderId="1" xfId="1" applyFont="1" applyFill="1" applyBorder="1" applyAlignment="1">
      <alignment horizontal="center" vertical="center" wrapText="1"/>
    </xf>
    <xf numFmtId="20" fontId="8" fillId="2" borderId="1" xfId="1" quotePrefix="1" applyNumberFormat="1" applyFont="1" applyFill="1" applyBorder="1" applyAlignment="1">
      <alignment horizontal="center" vertical="center" wrapText="1"/>
    </xf>
    <xf numFmtId="0" fontId="8" fillId="2" borderId="1" xfId="1" quotePrefix="1" applyFont="1" applyFill="1" applyBorder="1" applyAlignment="1">
      <alignment horizontal="center" vertical="center" wrapText="1"/>
    </xf>
    <xf numFmtId="20" fontId="8" fillId="2" borderId="1" xfId="1" applyNumberFormat="1" applyFont="1" applyFill="1" applyBorder="1" applyAlignment="1">
      <alignment horizontal="center" vertical="center" wrapText="1"/>
    </xf>
    <xf numFmtId="14" fontId="12" fillId="2" borderId="1" xfId="1" quotePrefix="1" applyNumberFormat="1" applyFont="1" applyFill="1" applyBorder="1" applyAlignment="1">
      <alignment horizontal="center" vertical="center" wrapText="1"/>
    </xf>
    <xf numFmtId="20" fontId="13" fillId="2" borderId="0" xfId="1" quotePrefix="1" applyNumberFormat="1" applyFont="1" applyFill="1" applyBorder="1" applyAlignment="1">
      <alignment horizontal="center" vertical="center" wrapText="1"/>
    </xf>
    <xf numFmtId="0" fontId="13" fillId="2" borderId="0" xfId="1" applyFont="1" applyFill="1" applyBorder="1" applyAlignment="1">
      <alignment horizontal="center" vertical="center" wrapText="1"/>
    </xf>
    <xf numFmtId="20" fontId="13" fillId="2" borderId="0" xfId="1" applyNumberFormat="1" applyFont="1" applyFill="1" applyBorder="1" applyAlignment="1">
      <alignment horizontal="center" vertical="center" wrapText="1"/>
    </xf>
    <xf numFmtId="0" fontId="8" fillId="2" borderId="5" xfId="1" applyFont="1" applyFill="1" applyBorder="1" applyAlignment="1">
      <alignment horizontal="center" vertical="center" wrapText="1"/>
    </xf>
    <xf numFmtId="0" fontId="14" fillId="2" borderId="0" xfId="1" applyFont="1" applyFill="1" applyBorder="1" applyAlignment="1">
      <alignment vertical="center"/>
    </xf>
    <xf numFmtId="0" fontId="8" fillId="2" borderId="1" xfId="1" applyFont="1" applyFill="1" applyBorder="1" applyAlignment="1">
      <alignment vertical="center" wrapText="1"/>
    </xf>
    <xf numFmtId="20" fontId="8" fillId="2" borderId="1" xfId="1" applyNumberFormat="1" applyFont="1" applyFill="1" applyBorder="1" applyAlignment="1">
      <alignment horizontal="center" vertical="center"/>
    </xf>
    <xf numFmtId="0" fontId="11" fillId="2" borderId="1" xfId="1" applyFont="1" applyFill="1" applyBorder="1" applyAlignment="1">
      <alignment vertical="center" wrapText="1"/>
    </xf>
    <xf numFmtId="166" fontId="8" fillId="2" borderId="1" xfId="1" applyNumberFormat="1" applyFont="1" applyFill="1" applyBorder="1" applyAlignment="1">
      <alignment horizontal="center" vertical="center" wrapText="1"/>
    </xf>
    <xf numFmtId="0" fontId="8" fillId="2" borderId="1" xfId="1" applyFont="1" applyFill="1" applyBorder="1" applyAlignment="1">
      <alignment horizontal="center" vertical="center"/>
    </xf>
    <xf numFmtId="0" fontId="11" fillId="2" borderId="3" xfId="1" applyFont="1" applyFill="1" applyBorder="1" applyAlignment="1">
      <alignment vertical="center" wrapText="1"/>
    </xf>
    <xf numFmtId="0" fontId="8" fillId="2" borderId="0" xfId="1" applyFont="1" applyFill="1" applyBorder="1" applyAlignment="1">
      <alignment vertical="center" wrapText="1"/>
    </xf>
    <xf numFmtId="0" fontId="15" fillId="2" borderId="0" xfId="1" applyFont="1" applyFill="1" applyBorder="1" applyAlignment="1">
      <alignment vertical="center" wrapText="1"/>
    </xf>
    <xf numFmtId="0" fontId="10" fillId="2" borderId="3" xfId="1" applyFont="1" applyFill="1" applyBorder="1" applyAlignment="1">
      <alignment horizontal="left" vertical="center"/>
    </xf>
    <xf numFmtId="0" fontId="10" fillId="2" borderId="3" xfId="1" applyFont="1" applyFill="1" applyBorder="1" applyAlignment="1">
      <alignment horizontal="center" vertical="center"/>
    </xf>
    <xf numFmtId="20" fontId="10" fillId="2" borderId="3" xfId="1" applyNumberFormat="1" applyFont="1" applyFill="1" applyBorder="1" applyAlignment="1">
      <alignment horizontal="center" vertical="center"/>
    </xf>
    <xf numFmtId="0" fontId="10" fillId="2" borderId="3" xfId="1" applyNumberFormat="1" applyFont="1" applyFill="1" applyBorder="1" applyAlignment="1">
      <alignment horizontal="center" vertical="center"/>
    </xf>
    <xf numFmtId="20" fontId="10" fillId="2" borderId="7" xfId="1" applyNumberFormat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left" vertical="center" wrapText="1"/>
    </xf>
    <xf numFmtId="0" fontId="10" fillId="2" borderId="3" xfId="1" applyFont="1" applyFill="1" applyBorder="1" applyAlignment="1">
      <alignment horizontal="left" vertical="center" wrapText="1"/>
    </xf>
    <xf numFmtId="0" fontId="10" fillId="2" borderId="3" xfId="1" applyFont="1" applyFill="1" applyBorder="1" applyAlignment="1">
      <alignment horizontal="center" vertical="center" wrapText="1"/>
    </xf>
    <xf numFmtId="20" fontId="5" fillId="2" borderId="3" xfId="1" applyNumberFormat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left" vertical="center" wrapText="1"/>
    </xf>
    <xf numFmtId="0" fontId="16" fillId="2" borderId="0" xfId="1" applyFont="1" applyFill="1" applyBorder="1" applyAlignment="1"/>
    <xf numFmtId="0" fontId="5" fillId="2" borderId="1" xfId="1" applyFont="1" applyFill="1" applyBorder="1" applyAlignment="1">
      <alignment horizontal="center" vertical="center" wrapText="1"/>
    </xf>
    <xf numFmtId="0" fontId="8" fillId="2" borderId="1" xfId="1" applyFont="1" applyFill="1" applyBorder="1"/>
    <xf numFmtId="0" fontId="8" fillId="2" borderId="0" xfId="1" applyFont="1" applyFill="1" applyBorder="1"/>
    <xf numFmtId="20" fontId="5" fillId="2" borderId="3" xfId="1" applyNumberFormat="1" applyFont="1" applyFill="1" applyBorder="1" applyAlignment="1">
      <alignment horizontal="center" vertical="center" wrapText="1"/>
    </xf>
    <xf numFmtId="20" fontId="5" fillId="2" borderId="3" xfId="1" applyNumberFormat="1" applyFont="1" applyFill="1" applyBorder="1" applyAlignment="1">
      <alignment horizontal="left" vertical="center" wrapText="1" indent="2"/>
    </xf>
    <xf numFmtId="0" fontId="14" fillId="2" borderId="0" xfId="1" applyFont="1" applyFill="1" applyBorder="1"/>
    <xf numFmtId="0" fontId="14" fillId="2" borderId="2" xfId="1" applyFont="1" applyFill="1" applyBorder="1"/>
    <xf numFmtId="0" fontId="14" fillId="2" borderId="1" xfId="1" applyFont="1" applyFill="1" applyBorder="1"/>
    <xf numFmtId="0" fontId="17" fillId="2" borderId="3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vertical="center"/>
    </xf>
    <xf numFmtId="0" fontId="10" fillId="2" borderId="0" xfId="1" applyFont="1" applyFill="1" applyBorder="1" applyAlignment="1">
      <alignment horizontal="center" vertical="center" wrapText="1"/>
    </xf>
    <xf numFmtId="0" fontId="15" fillId="2" borderId="6" xfId="1" applyFont="1" applyFill="1" applyBorder="1" applyAlignment="1">
      <alignment vertical="center" wrapText="1"/>
    </xf>
    <xf numFmtId="0" fontId="10" fillId="2" borderId="1" xfId="1" applyFont="1" applyFill="1" applyBorder="1" applyAlignment="1">
      <alignment horizontal="center" vertical="center" wrapText="1"/>
    </xf>
    <xf numFmtId="0" fontId="10" fillId="2" borderId="1" xfId="1" applyNumberFormat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165" fontId="10" fillId="2" borderId="1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left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vertical="center"/>
    </xf>
    <xf numFmtId="0" fontId="8" fillId="2" borderId="0" xfId="1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center" vertical="center"/>
    </xf>
    <xf numFmtId="0" fontId="18" fillId="2" borderId="0" xfId="1" applyFont="1" applyFill="1" applyBorder="1" applyAlignment="1">
      <alignment horizontal="center" vertical="center" wrapText="1"/>
    </xf>
    <xf numFmtId="0" fontId="0" fillId="2" borderId="0" xfId="0" applyFont="1" applyFill="1"/>
    <xf numFmtId="0" fontId="8" fillId="2" borderId="1" xfId="1" applyFont="1" applyFill="1" applyBorder="1" applyAlignment="1">
      <alignment horizontal="center"/>
    </xf>
    <xf numFmtId="20" fontId="14" fillId="2" borderId="1" xfId="1" applyNumberFormat="1" applyFont="1" applyFill="1" applyBorder="1" applyAlignment="1">
      <alignment horizontal="center" vertical="center"/>
    </xf>
    <xf numFmtId="0" fontId="14" fillId="2" borderId="1" xfId="1" applyFont="1" applyFill="1" applyBorder="1" applyAlignment="1">
      <alignment horizontal="center" vertical="center"/>
    </xf>
    <xf numFmtId="0" fontId="8" fillId="2" borderId="1" xfId="1" quotePrefix="1" applyFont="1" applyFill="1" applyBorder="1" applyAlignment="1">
      <alignment horizontal="center" vertical="center"/>
    </xf>
    <xf numFmtId="20" fontId="11" fillId="2" borderId="1" xfId="1" quotePrefix="1" applyNumberFormat="1" applyFont="1" applyFill="1" applyBorder="1" applyAlignment="1">
      <alignment horizontal="center" vertical="center"/>
    </xf>
    <xf numFmtId="20" fontId="8" fillId="2" borderId="1" xfId="1" quotePrefix="1" applyNumberFormat="1" applyFont="1" applyFill="1" applyBorder="1" applyAlignment="1">
      <alignment horizontal="center" vertical="center"/>
    </xf>
    <xf numFmtId="20" fontId="14" fillId="2" borderId="1" xfId="1" quotePrefix="1" applyNumberFormat="1" applyFont="1" applyFill="1" applyBorder="1" applyAlignment="1">
      <alignment horizontal="center" vertical="center"/>
    </xf>
    <xf numFmtId="0" fontId="8" fillId="2" borderId="0" xfId="1" quotePrefix="1" applyFont="1" applyFill="1" applyBorder="1" applyAlignment="1">
      <alignment horizontal="center" vertical="center"/>
    </xf>
    <xf numFmtId="20" fontId="14" fillId="2" borderId="0" xfId="1" quotePrefix="1" applyNumberFormat="1" applyFont="1" applyFill="1" applyBorder="1" applyAlignment="1">
      <alignment horizontal="center" vertical="center"/>
    </xf>
    <xf numFmtId="0" fontId="14" fillId="2" borderId="0" xfId="1" applyFont="1" applyFill="1" applyBorder="1" applyAlignment="1">
      <alignment horizontal="center" vertical="center"/>
    </xf>
    <xf numFmtId="20" fontId="14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left"/>
    </xf>
    <xf numFmtId="0" fontId="14" fillId="2" borderId="0" xfId="1" applyFont="1" applyFill="1" applyBorder="1" applyAlignment="1">
      <alignment horizontal="left" vertical="center"/>
    </xf>
    <xf numFmtId="20" fontId="14" fillId="2" borderId="0" xfId="1" applyNumberFormat="1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15" fillId="2" borderId="1" xfId="1" applyFont="1" applyFill="1" applyBorder="1" applyAlignment="1">
      <alignment vertical="center" wrapText="1"/>
    </xf>
    <xf numFmtId="0" fontId="10" fillId="2" borderId="0" xfId="1" applyFont="1" applyFill="1" applyBorder="1" applyAlignment="1">
      <alignment horizontal="left" vertical="center" wrapText="1"/>
    </xf>
    <xf numFmtId="20" fontId="10" fillId="2" borderId="0" xfId="1" applyNumberFormat="1" applyFont="1" applyFill="1" applyBorder="1" applyAlignment="1">
      <alignment horizontal="center" vertical="center"/>
    </xf>
    <xf numFmtId="0" fontId="10" fillId="2" borderId="0" xfId="1" applyNumberFormat="1" applyFont="1" applyFill="1" applyBorder="1" applyAlignment="1">
      <alignment horizontal="center" vertical="center"/>
    </xf>
    <xf numFmtId="0" fontId="8" fillId="2" borderId="0" xfId="1" applyNumberFormat="1" applyFont="1" applyFill="1" applyBorder="1" applyAlignment="1">
      <alignment horizontal="center"/>
    </xf>
    <xf numFmtId="0" fontId="8" fillId="2" borderId="0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5" fillId="2" borderId="0" xfId="1" applyFont="1" applyFill="1" applyBorder="1" applyAlignment="1">
      <alignment horizontal="center"/>
    </xf>
    <xf numFmtId="0" fontId="10" fillId="2" borderId="1" xfId="0" applyFont="1" applyFill="1" applyBorder="1" applyAlignment="1">
      <alignment horizontal="left"/>
    </xf>
    <xf numFmtId="0" fontId="10" fillId="2" borderId="1" xfId="0" applyFont="1" applyFill="1" applyBorder="1" applyAlignment="1">
      <alignment horizontal="center"/>
    </xf>
    <xf numFmtId="165" fontId="10" fillId="2" borderId="1" xfId="0" applyNumberFormat="1" applyFont="1" applyFill="1" applyBorder="1" applyAlignment="1">
      <alignment horizontal="center"/>
    </xf>
    <xf numFmtId="1" fontId="10" fillId="2" borderId="1" xfId="1" applyNumberFormat="1" applyFont="1" applyFill="1" applyBorder="1" applyAlignment="1">
      <alignment horizontal="center"/>
    </xf>
    <xf numFmtId="0" fontId="1" fillId="2" borderId="0" xfId="1" applyFont="1" applyFill="1" applyAlignment="1">
      <alignment horizontal="left"/>
    </xf>
    <xf numFmtId="0" fontId="1" fillId="2" borderId="0" xfId="1" applyFont="1" applyFill="1"/>
    <xf numFmtId="0" fontId="10" fillId="2" borderId="0" xfId="1" applyFont="1" applyFill="1"/>
    <xf numFmtId="0" fontId="1" fillId="2" borderId="8" xfId="1" applyFont="1" applyFill="1" applyBorder="1" applyAlignment="1">
      <alignment horizontal="left"/>
    </xf>
    <xf numFmtId="0" fontId="1" fillId="2" borderId="8" xfId="1" applyFont="1" applyFill="1" applyBorder="1"/>
    <xf numFmtId="0" fontId="5" fillId="4" borderId="1" xfId="1" quotePrefix="1" applyFont="1" applyFill="1" applyBorder="1" applyAlignment="1">
      <alignment horizontal="left" vertical="center" wrapText="1"/>
    </xf>
    <xf numFmtId="0" fontId="10" fillId="0" borderId="1" xfId="1" applyFont="1" applyFill="1" applyBorder="1"/>
    <xf numFmtId="0" fontId="10" fillId="3" borderId="1" xfId="1" applyFont="1" applyFill="1" applyBorder="1"/>
    <xf numFmtId="0" fontId="10" fillId="0" borderId="1" xfId="1" applyFont="1" applyFill="1" applyBorder="1" applyAlignment="1">
      <alignment horizontal="left" vertical="center"/>
    </xf>
    <xf numFmtId="0" fontId="10" fillId="0" borderId="2" xfId="1" applyFont="1" applyFill="1" applyBorder="1"/>
    <xf numFmtId="0" fontId="5" fillId="0" borderId="1" xfId="1" applyFont="1" applyFill="1" applyBorder="1" applyAlignment="1">
      <alignment horizontal="left" vertical="center"/>
    </xf>
    <xf numFmtId="167" fontId="5" fillId="0" borderId="1" xfId="1" applyNumberFormat="1" applyFont="1" applyFill="1" applyBorder="1" applyAlignment="1">
      <alignment horizontal="center" vertical="center"/>
    </xf>
    <xf numFmtId="0" fontId="8" fillId="0" borderId="11" xfId="1" applyFont="1" applyFill="1" applyBorder="1"/>
    <xf numFmtId="0" fontId="8" fillId="0" borderId="12" xfId="1" applyFont="1" applyFill="1" applyBorder="1"/>
    <xf numFmtId="0" fontId="8" fillId="3" borderId="12" xfId="1" applyFont="1" applyFill="1" applyBorder="1"/>
    <xf numFmtId="0" fontId="8" fillId="0" borderId="2" xfId="1" applyFont="1" applyFill="1" applyBorder="1"/>
    <xf numFmtId="0" fontId="8" fillId="0" borderId="1" xfId="1" applyFont="1" applyFill="1" applyBorder="1"/>
    <xf numFmtId="0" fontId="8" fillId="3" borderId="1" xfId="1" applyFont="1" applyFill="1" applyBorder="1"/>
    <xf numFmtId="0" fontId="5" fillId="0" borderId="0" xfId="1" applyFont="1" applyFill="1" applyBorder="1" applyAlignment="1">
      <alignment horizontal="center" vertical="center" wrapText="1"/>
    </xf>
    <xf numFmtId="167" fontId="5" fillId="0" borderId="12" xfId="1" applyNumberFormat="1" applyFont="1" applyFill="1" applyBorder="1" applyAlignment="1">
      <alignment horizontal="center" vertical="center"/>
    </xf>
    <xf numFmtId="0" fontId="10" fillId="0" borderId="0" xfId="1" applyFont="1" applyFill="1" applyBorder="1"/>
    <xf numFmtId="0" fontId="10" fillId="3" borderId="0" xfId="1" applyFont="1" applyFill="1" applyBorder="1"/>
    <xf numFmtId="0" fontId="10" fillId="0" borderId="1" xfId="1" applyFont="1" applyFill="1" applyBorder="1" applyAlignment="1">
      <alignment horizontal="center" vertical="center" wrapText="1"/>
    </xf>
    <xf numFmtId="0" fontId="10" fillId="0" borderId="1" xfId="1" applyFont="1" applyFill="1" applyBorder="1" applyAlignment="1">
      <alignment horizontal="center" vertical="center"/>
    </xf>
    <xf numFmtId="0" fontId="15" fillId="0" borderId="3" xfId="1" applyFont="1" applyFill="1" applyBorder="1" applyAlignment="1">
      <alignment vertical="center"/>
    </xf>
    <xf numFmtId="0" fontId="15" fillId="2" borderId="3" xfId="1" applyFont="1" applyFill="1" applyBorder="1" applyAlignment="1">
      <alignment vertical="center"/>
    </xf>
    <xf numFmtId="0" fontId="10" fillId="0" borderId="3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0" fillId="0" borderId="1" xfId="1" applyFont="1" applyFill="1" applyBorder="1" applyAlignment="1">
      <alignment vertical="center" wrapText="1"/>
    </xf>
    <xf numFmtId="167" fontId="10" fillId="0" borderId="1" xfId="1" applyNumberFormat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vertical="center" wrapText="1"/>
    </xf>
    <xf numFmtId="167" fontId="10" fillId="0" borderId="1" xfId="1" quotePrefix="1" applyNumberFormat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/>
    </xf>
    <xf numFmtId="0" fontId="15" fillId="0" borderId="1" xfId="1" applyFont="1" applyFill="1" applyBorder="1"/>
    <xf numFmtId="0" fontId="15" fillId="3" borderId="0" xfId="1" applyNumberFormat="1" applyFont="1" applyFill="1" applyBorder="1" applyAlignment="1">
      <alignment horizontal="center"/>
    </xf>
    <xf numFmtId="0" fontId="15" fillId="3" borderId="0" xfId="1" applyNumberFormat="1" applyFont="1" applyFill="1"/>
    <xf numFmtId="0" fontId="7" fillId="2" borderId="0" xfId="1" applyNumberFormat="1" applyFont="1" applyFill="1" applyBorder="1" applyAlignment="1">
      <alignment horizontal="center"/>
    </xf>
    <xf numFmtId="0" fontId="1" fillId="2" borderId="0" xfId="1" applyNumberFormat="1" applyFont="1" applyFill="1"/>
    <xf numFmtId="0" fontId="1" fillId="2" borderId="0" xfId="1" applyNumberFormat="1" applyFont="1" applyFill="1" applyBorder="1"/>
    <xf numFmtId="0" fontId="7" fillId="0" borderId="0" xfId="1" applyFont="1" applyFill="1" applyBorder="1" applyAlignment="1">
      <alignment horizontal="center"/>
    </xf>
    <xf numFmtId="0" fontId="1" fillId="3" borderId="0" xfId="1" applyFill="1"/>
    <xf numFmtId="0" fontId="7" fillId="4" borderId="0" xfId="1" applyFont="1" applyFill="1" applyBorder="1"/>
    <xf numFmtId="0" fontId="7" fillId="4" borderId="0" xfId="1" applyFont="1" applyFill="1" applyBorder="1" applyAlignment="1">
      <alignment horizontal="center"/>
    </xf>
    <xf numFmtId="0" fontId="7" fillId="4" borderId="0" xfId="1" applyFont="1" applyFill="1" applyAlignment="1">
      <alignment horizontal="center"/>
    </xf>
    <xf numFmtId="0" fontId="7" fillId="4" borderId="0" xfId="1" applyFont="1" applyFill="1"/>
    <xf numFmtId="0" fontId="1" fillId="4" borderId="0" xfId="1" applyFill="1"/>
    <xf numFmtId="0" fontId="1" fillId="4" borderId="0" xfId="1" applyFont="1" applyFill="1"/>
    <xf numFmtId="0" fontId="21" fillId="7" borderId="0" xfId="0" applyFont="1" applyFill="1" applyAlignment="1">
      <alignment horizontal="center" wrapText="1" readingOrder="1"/>
    </xf>
    <xf numFmtId="0" fontId="21" fillId="7" borderId="0" xfId="0" applyFont="1" applyFill="1" applyAlignment="1">
      <alignment horizontal="left" wrapText="1" readingOrder="1"/>
    </xf>
    <xf numFmtId="0" fontId="0" fillId="7" borderId="0" xfId="0" applyFill="1"/>
    <xf numFmtId="0" fontId="0" fillId="7" borderId="0" xfId="0" applyFill="1" applyAlignment="1">
      <alignment wrapText="1"/>
    </xf>
    <xf numFmtId="0" fontId="22" fillId="7" borderId="0" xfId="0" applyFont="1" applyFill="1" applyAlignment="1">
      <alignment horizontal="left" wrapText="1" readingOrder="1"/>
    </xf>
    <xf numFmtId="0" fontId="22" fillId="7" borderId="0" xfId="0" applyFont="1" applyFill="1" applyAlignment="1">
      <alignment horizontal="center" wrapText="1" readingOrder="1"/>
    </xf>
    <xf numFmtId="20" fontId="22" fillId="7" borderId="0" xfId="0" applyNumberFormat="1" applyFont="1" applyFill="1" applyAlignment="1">
      <alignment horizontal="left" wrapText="1" readingOrder="1"/>
    </xf>
    <xf numFmtId="0" fontId="0" fillId="7" borderId="0" xfId="0" applyFill="1" applyAlignment="1">
      <alignment horizontal="center" wrapText="1" readingOrder="1"/>
    </xf>
    <xf numFmtId="0" fontId="24" fillId="7" borderId="0" xfId="0" applyFont="1" applyFill="1" applyAlignment="1">
      <alignment horizontal="left" wrapText="1" readingOrder="1"/>
    </xf>
    <xf numFmtId="0" fontId="24" fillId="7" borderId="0" xfId="0" applyFont="1" applyFill="1" applyAlignment="1">
      <alignment horizontal="center" wrapText="1" readingOrder="1"/>
    </xf>
    <xf numFmtId="0" fontId="9" fillId="2" borderId="3" xfId="1" applyFont="1" applyFill="1" applyBorder="1" applyAlignment="1">
      <alignment vertical="center"/>
    </xf>
    <xf numFmtId="165" fontId="5" fillId="2" borderId="3" xfId="1" applyNumberFormat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left" vertical="center"/>
    </xf>
    <xf numFmtId="0" fontId="5" fillId="4" borderId="7" xfId="1" applyFont="1" applyFill="1" applyBorder="1" applyAlignment="1">
      <alignment horizontal="left" vertical="center" wrapText="1"/>
    </xf>
    <xf numFmtId="0" fontId="14" fillId="2" borderId="9" xfId="1" applyFont="1" applyFill="1" applyBorder="1"/>
    <xf numFmtId="0" fontId="10" fillId="2" borderId="7" xfId="1" applyFont="1" applyFill="1" applyBorder="1" applyAlignment="1">
      <alignment horizontal="left" vertical="center" wrapText="1"/>
    </xf>
    <xf numFmtId="0" fontId="8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vertical="center" wrapText="1"/>
    </xf>
    <xf numFmtId="0" fontId="10" fillId="2" borderId="9" xfId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horizontal="left" vertical="center"/>
    </xf>
    <xf numFmtId="0" fontId="10" fillId="2" borderId="9" xfId="0" applyFont="1" applyFill="1" applyBorder="1" applyAlignment="1">
      <alignment horizontal="left"/>
    </xf>
    <xf numFmtId="0" fontId="1" fillId="2" borderId="0" xfId="1" applyFont="1" applyFill="1" applyBorder="1" applyAlignment="1">
      <alignment horizontal="left"/>
    </xf>
    <xf numFmtId="0" fontId="1" fillId="2" borderId="0" xfId="1" applyFont="1" applyFill="1" applyBorder="1"/>
    <xf numFmtId="0" fontId="5" fillId="2" borderId="2" xfId="1" applyFont="1" applyFill="1" applyBorder="1" applyAlignment="1">
      <alignment horizontal="center" vertical="center"/>
    </xf>
    <xf numFmtId="0" fontId="5" fillId="2" borderId="2" xfId="1" quotePrefix="1" applyFont="1" applyFill="1" applyBorder="1" applyAlignment="1">
      <alignment horizontal="left" vertical="center" wrapText="1"/>
    </xf>
    <xf numFmtId="0" fontId="5" fillId="2" borderId="4" xfId="1" applyFont="1" applyFill="1" applyBorder="1" applyAlignment="1">
      <alignment horizontal="left" vertical="center"/>
    </xf>
    <xf numFmtId="0" fontId="10" fillId="2" borderId="4" xfId="1" applyFont="1" applyFill="1" applyBorder="1" applyAlignment="1">
      <alignment horizontal="left" vertical="center"/>
    </xf>
    <xf numFmtId="0" fontId="8" fillId="2" borderId="2" xfId="1" applyFont="1" applyFill="1" applyBorder="1" applyAlignment="1">
      <alignment horizontal="center" vertical="center" wrapText="1"/>
    </xf>
    <xf numFmtId="14" fontId="11" fillId="2" borderId="2" xfId="1" quotePrefix="1" applyNumberFormat="1" applyFont="1" applyFill="1" applyBorder="1" applyAlignment="1">
      <alignment horizontal="center" vertical="center" wrapText="1"/>
    </xf>
    <xf numFmtId="14" fontId="12" fillId="2" borderId="2" xfId="1" quotePrefix="1" applyNumberFormat="1" applyFont="1" applyFill="1" applyBorder="1" applyAlignment="1">
      <alignment horizontal="center" vertical="center" wrapText="1"/>
    </xf>
    <xf numFmtId="0" fontId="8" fillId="2" borderId="2" xfId="1" applyFont="1" applyFill="1" applyBorder="1" applyAlignment="1">
      <alignment horizontal="center" vertical="center"/>
    </xf>
    <xf numFmtId="166" fontId="8" fillId="2" borderId="2" xfId="1" applyNumberFormat="1" applyFont="1" applyFill="1" applyBorder="1" applyAlignment="1">
      <alignment horizontal="center" vertical="center" wrapText="1"/>
    </xf>
    <xf numFmtId="0" fontId="10" fillId="2" borderId="2" xfId="1" applyFont="1" applyFill="1" applyBorder="1" applyAlignment="1">
      <alignment horizontal="center" vertical="center" wrapText="1"/>
    </xf>
    <xf numFmtId="0" fontId="10" fillId="2" borderId="2" xfId="1" applyFont="1" applyFill="1" applyBorder="1" applyAlignment="1">
      <alignment horizontal="left" vertical="center"/>
    </xf>
    <xf numFmtId="0" fontId="10" fillId="2" borderId="4" xfId="1" applyFont="1" applyFill="1" applyBorder="1" applyAlignment="1">
      <alignment horizontal="left" vertical="center" wrapText="1"/>
    </xf>
    <xf numFmtId="0" fontId="10" fillId="2" borderId="2" xfId="1" applyFont="1" applyFill="1" applyBorder="1" applyAlignment="1">
      <alignment horizontal="left" vertical="center" wrapText="1"/>
    </xf>
    <xf numFmtId="0" fontId="10" fillId="2" borderId="2" xfId="0" applyFont="1" applyFill="1" applyBorder="1" applyAlignment="1">
      <alignment horizontal="left"/>
    </xf>
    <xf numFmtId="0" fontId="4" fillId="2" borderId="14" xfId="1" applyFont="1" applyFill="1" applyBorder="1" applyAlignment="1">
      <alignment vertical="center"/>
    </xf>
    <xf numFmtId="0" fontId="4" fillId="2" borderId="15" xfId="1" applyFont="1" applyFill="1" applyBorder="1" applyAlignment="1">
      <alignment vertical="center"/>
    </xf>
    <xf numFmtId="0" fontId="1" fillId="0" borderId="15" xfId="1" applyFill="1" applyBorder="1"/>
    <xf numFmtId="0" fontId="8" fillId="0" borderId="15" xfId="1" applyFont="1" applyFill="1" applyBorder="1" applyAlignment="1">
      <alignment vertical="center"/>
    </xf>
    <xf numFmtId="0" fontId="14" fillId="2" borderId="15" xfId="1" applyFont="1" applyFill="1" applyBorder="1"/>
    <xf numFmtId="0" fontId="8" fillId="2" borderId="15" xfId="1" applyFont="1" applyFill="1" applyBorder="1" applyAlignment="1">
      <alignment vertical="center"/>
    </xf>
    <xf numFmtId="0" fontId="0" fillId="2" borderId="15" xfId="0" applyFont="1" applyFill="1" applyBorder="1"/>
    <xf numFmtId="0" fontId="14" fillId="2" borderId="15" xfId="1" applyFont="1" applyFill="1" applyBorder="1" applyAlignment="1">
      <alignment vertical="center"/>
    </xf>
    <xf numFmtId="0" fontId="8" fillId="2" borderId="15" xfId="1" applyFont="1" applyFill="1" applyBorder="1" applyAlignment="1">
      <alignment vertical="center" wrapText="1"/>
    </xf>
    <xf numFmtId="0" fontId="15" fillId="2" borderId="15" xfId="1" applyFont="1" applyFill="1" applyBorder="1" applyAlignment="1">
      <alignment vertical="center" wrapText="1"/>
    </xf>
    <xf numFmtId="0" fontId="14" fillId="2" borderId="15" xfId="1" applyFont="1" applyFill="1" applyBorder="1" applyAlignment="1"/>
    <xf numFmtId="0" fontId="8" fillId="2" borderId="15" xfId="1" applyFont="1" applyFill="1" applyBorder="1"/>
    <xf numFmtId="0" fontId="1" fillId="2" borderId="15" xfId="1" applyFont="1" applyFill="1" applyBorder="1"/>
    <xf numFmtId="0" fontId="9" fillId="0" borderId="15" xfId="1" applyFont="1" applyFill="1" applyBorder="1" applyAlignment="1">
      <alignment vertical="center"/>
    </xf>
    <xf numFmtId="0" fontId="11" fillId="2" borderId="15" xfId="1" applyFont="1" applyFill="1" applyBorder="1" applyAlignment="1">
      <alignment vertical="center" wrapText="1"/>
    </xf>
    <xf numFmtId="0" fontId="10" fillId="2" borderId="15" xfId="1" applyFont="1" applyFill="1" applyBorder="1" applyAlignment="1">
      <alignment horizontal="center" vertical="center"/>
    </xf>
    <xf numFmtId="0" fontId="5" fillId="2" borderId="9" xfId="1" applyFont="1" applyFill="1" applyBorder="1" applyAlignment="1">
      <alignment horizontal="left" vertical="center"/>
    </xf>
    <xf numFmtId="0" fontId="5" fillId="2" borderId="7" xfId="1" applyFont="1" applyFill="1" applyBorder="1" applyAlignment="1">
      <alignment horizontal="left" vertical="center" wrapText="1"/>
    </xf>
    <xf numFmtId="0" fontId="5" fillId="2" borderId="7" xfId="1" applyFont="1" applyFill="1" applyBorder="1" applyAlignment="1">
      <alignment horizontal="left" vertical="center"/>
    </xf>
    <xf numFmtId="0" fontId="10" fillId="2" borderId="9" xfId="1" applyFont="1" applyFill="1" applyBorder="1" applyAlignment="1">
      <alignment horizontal="left" vertical="center" wrapText="1"/>
    </xf>
    <xf numFmtId="0" fontId="10" fillId="2" borderId="9" xfId="1" applyFont="1" applyFill="1" applyBorder="1" applyAlignment="1">
      <alignment horizontal="left" vertical="center"/>
    </xf>
    <xf numFmtId="0" fontId="1" fillId="2" borderId="15" xfId="1" applyFill="1" applyBorder="1"/>
    <xf numFmtId="20" fontId="5" fillId="2" borderId="1" xfId="1" applyNumberFormat="1" applyFont="1" applyFill="1" applyBorder="1" applyAlignment="1">
      <alignment horizontal="center" vertical="center"/>
    </xf>
    <xf numFmtId="20" fontId="10" fillId="0" borderId="1" xfId="1" applyNumberFormat="1" applyFont="1" applyFill="1" applyBorder="1" applyAlignment="1">
      <alignment horizontal="center" vertical="center"/>
    </xf>
    <xf numFmtId="0" fontId="9" fillId="0" borderId="14" xfId="1" applyFont="1" applyFill="1" applyBorder="1" applyAlignment="1">
      <alignment vertical="center"/>
    </xf>
    <xf numFmtId="0" fontId="14" fillId="2" borderId="16" xfId="1" applyFont="1" applyFill="1" applyBorder="1"/>
    <xf numFmtId="0" fontId="15" fillId="2" borderId="17" xfId="1" applyFont="1" applyFill="1" applyBorder="1" applyAlignment="1">
      <alignment vertical="center" wrapText="1"/>
    </xf>
    <xf numFmtId="0" fontId="16" fillId="2" borderId="17" xfId="1" applyFont="1" applyFill="1" applyBorder="1" applyAlignment="1"/>
    <xf numFmtId="0" fontId="8" fillId="2" borderId="17" xfId="1" applyFont="1" applyFill="1" applyBorder="1"/>
    <xf numFmtId="20" fontId="10" fillId="2" borderId="4" xfId="1" applyNumberFormat="1" applyFont="1" applyFill="1" applyBorder="1" applyAlignment="1">
      <alignment horizontal="center" vertical="center"/>
    </xf>
    <xf numFmtId="0" fontId="10" fillId="2" borderId="2" xfId="1" applyNumberFormat="1" applyFont="1" applyFill="1" applyBorder="1" applyAlignment="1">
      <alignment horizontal="center" vertical="center"/>
    </xf>
    <xf numFmtId="165" fontId="10" fillId="2" borderId="2" xfId="1" applyNumberFormat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left"/>
    </xf>
    <xf numFmtId="0" fontId="15" fillId="2" borderId="1" xfId="1" applyFont="1" applyFill="1" applyBorder="1" applyAlignment="1">
      <alignment horizontal="center" vertical="center"/>
    </xf>
    <xf numFmtId="0" fontId="8" fillId="2" borderId="17" xfId="1" applyFont="1" applyFill="1" applyBorder="1" applyAlignment="1">
      <alignment vertical="center" wrapText="1"/>
    </xf>
    <xf numFmtId="0" fontId="14" fillId="2" borderId="1" xfId="1" applyFont="1" applyFill="1" applyBorder="1" applyAlignment="1">
      <alignment horizontal="left" vertical="center"/>
    </xf>
    <xf numFmtId="0" fontId="14" fillId="2" borderId="17" xfId="1" applyFont="1" applyFill="1" applyBorder="1"/>
    <xf numFmtId="0" fontId="8" fillId="2" borderId="17" xfId="1" applyFont="1" applyFill="1" applyBorder="1" applyAlignment="1">
      <alignment vertical="center"/>
    </xf>
    <xf numFmtId="0" fontId="0" fillId="2" borderId="17" xfId="0" applyFont="1" applyFill="1" applyBorder="1"/>
    <xf numFmtId="0" fontId="14" fillId="2" borderId="17" xfId="1" applyFont="1" applyFill="1" applyBorder="1" applyAlignment="1">
      <alignment vertical="center"/>
    </xf>
    <xf numFmtId="0" fontId="10" fillId="2" borderId="2" xfId="1" applyFont="1" applyFill="1" applyBorder="1" applyAlignment="1">
      <alignment horizontal="center" vertical="center"/>
    </xf>
    <xf numFmtId="20" fontId="8" fillId="2" borderId="2" xfId="1" applyNumberFormat="1" applyFont="1" applyFill="1" applyBorder="1" applyAlignment="1">
      <alignment horizontal="center" vertical="center"/>
    </xf>
    <xf numFmtId="20" fontId="8" fillId="2" borderId="2" xfId="1" quotePrefix="1" applyNumberFormat="1" applyFont="1" applyFill="1" applyBorder="1" applyAlignment="1">
      <alignment horizontal="center" vertical="center" wrapText="1"/>
    </xf>
    <xf numFmtId="20" fontId="14" fillId="2" borderId="2" xfId="1" applyNumberFormat="1" applyFont="1" applyFill="1" applyBorder="1" applyAlignment="1">
      <alignment horizontal="center" vertical="center"/>
    </xf>
    <xf numFmtId="0" fontId="10" fillId="0" borderId="3" xfId="1" applyFont="1" applyFill="1" applyBorder="1" applyAlignment="1">
      <alignment horizontal="left" vertical="center"/>
    </xf>
    <xf numFmtId="167" fontId="5" fillId="0" borderId="1" xfId="1" quotePrefix="1" applyNumberFormat="1" applyFont="1" applyFill="1" applyBorder="1" applyAlignment="1">
      <alignment horizontal="center" vertical="center"/>
    </xf>
    <xf numFmtId="167" fontId="10" fillId="2" borderId="1" xfId="1" applyNumberFormat="1" applyFont="1" applyFill="1" applyBorder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0" fontId="8" fillId="0" borderId="3" xfId="1" applyFont="1" applyFill="1" applyBorder="1" applyAlignment="1">
      <alignment horizontal="left" wrapText="1"/>
    </xf>
    <xf numFmtId="0" fontId="8" fillId="0" borderId="1" xfId="1" applyFont="1" applyFill="1" applyBorder="1" applyAlignment="1">
      <alignment horizontal="center"/>
    </xf>
    <xf numFmtId="0" fontId="10" fillId="0" borderId="0" xfId="1" applyFont="1" applyFill="1" applyBorder="1" applyAlignment="1">
      <alignment vertical="center"/>
    </xf>
    <xf numFmtId="1" fontId="9" fillId="0" borderId="0" xfId="2" quotePrefix="1" applyNumberFormat="1" applyFont="1" applyFill="1" applyBorder="1" applyAlignment="1">
      <alignment horizontal="center" vertical="center" wrapText="1"/>
    </xf>
    <xf numFmtId="0" fontId="10" fillId="2" borderId="1" xfId="1" quotePrefix="1" applyFont="1" applyFill="1" applyBorder="1" applyAlignment="1">
      <alignment horizontal="left" vertical="center" wrapText="1"/>
    </xf>
    <xf numFmtId="167" fontId="10" fillId="2" borderId="1" xfId="1" quotePrefix="1" applyNumberFormat="1" applyFont="1" applyFill="1" applyBorder="1" applyAlignment="1">
      <alignment horizontal="center" vertical="center"/>
    </xf>
    <xf numFmtId="167" fontId="10" fillId="2" borderId="1" xfId="1" applyNumberFormat="1" applyFont="1" applyFill="1" applyBorder="1" applyAlignment="1">
      <alignment horizontal="center" vertical="center" wrapText="1"/>
    </xf>
    <xf numFmtId="167" fontId="10" fillId="2" borderId="1" xfId="1" quotePrefix="1" applyNumberFormat="1" applyFont="1" applyFill="1" applyBorder="1" applyAlignment="1">
      <alignment horizontal="center" vertical="center" wrapText="1"/>
    </xf>
    <xf numFmtId="0" fontId="15" fillId="2" borderId="4" xfId="1" applyFont="1" applyFill="1" applyBorder="1" applyAlignment="1">
      <alignment vertical="center"/>
    </xf>
    <xf numFmtId="0" fontId="15" fillId="0" borderId="4" xfId="1" applyFont="1" applyFill="1" applyBorder="1" applyAlignment="1">
      <alignment vertical="center"/>
    </xf>
    <xf numFmtId="0" fontId="10" fillId="2" borderId="0" xfId="1" applyNumberFormat="1" applyFont="1" applyFill="1" applyBorder="1" applyAlignment="1">
      <alignment horizontal="left" vertical="center" wrapText="1"/>
    </xf>
    <xf numFmtId="0" fontId="10" fillId="2" borderId="0" xfId="1" applyNumberFormat="1" applyFont="1" applyFill="1" applyBorder="1" applyAlignment="1">
      <alignment vertical="center" wrapText="1"/>
    </xf>
    <xf numFmtId="0" fontId="10" fillId="2" borderId="0" xfId="1" applyNumberFormat="1" applyFont="1" applyFill="1" applyBorder="1" applyAlignment="1">
      <alignment horizontal="center" vertical="center" wrapText="1"/>
    </xf>
    <xf numFmtId="167" fontId="10" fillId="2" borderId="0" xfId="1" quotePrefix="1" applyNumberFormat="1" applyFont="1" applyFill="1" applyBorder="1" applyAlignment="1">
      <alignment horizontal="center" vertical="center" wrapText="1"/>
    </xf>
    <xf numFmtId="0" fontId="10" fillId="2" borderId="0" xfId="1" applyNumberFormat="1" applyFont="1" applyFill="1"/>
    <xf numFmtId="0" fontId="10" fillId="2" borderId="0" xfId="1" applyNumberFormat="1" applyFont="1" applyFill="1" applyBorder="1" applyAlignment="1"/>
    <xf numFmtId="0" fontId="27" fillId="2" borderId="0" xfId="1" applyNumberFormat="1" applyFont="1" applyFill="1" applyBorder="1" applyAlignment="1">
      <alignment horizontal="center"/>
    </xf>
    <xf numFmtId="0" fontId="14" fillId="2" borderId="19" xfId="1" applyFont="1" applyFill="1" applyBorder="1"/>
    <xf numFmtId="0" fontId="9" fillId="2" borderId="1" xfId="1" applyFont="1" applyFill="1" applyBorder="1" applyAlignment="1">
      <alignment vertical="center"/>
    </xf>
    <xf numFmtId="0" fontId="10" fillId="0" borderId="6" xfId="1" applyFont="1" applyFill="1" applyBorder="1" applyAlignment="1">
      <alignment horizontal="left" vertical="center"/>
    </xf>
    <xf numFmtId="0" fontId="10" fillId="0" borderId="6" xfId="1" applyFont="1" applyFill="1" applyBorder="1" applyAlignment="1">
      <alignment horizontal="center" vertical="center"/>
    </xf>
    <xf numFmtId="0" fontId="10" fillId="0" borderId="6" xfId="1" applyFont="1" applyFill="1" applyBorder="1" applyAlignment="1">
      <alignment horizontal="left" vertical="center" wrapText="1"/>
    </xf>
    <xf numFmtId="20" fontId="10" fillId="0" borderId="6" xfId="1" applyNumberFormat="1" applyFont="1" applyFill="1" applyBorder="1" applyAlignment="1">
      <alignment horizontal="center" vertical="center"/>
    </xf>
    <xf numFmtId="0" fontId="10" fillId="0" borderId="20" xfId="1" applyFont="1" applyFill="1" applyBorder="1" applyAlignment="1">
      <alignment horizontal="left" vertical="center"/>
    </xf>
    <xf numFmtId="0" fontId="14" fillId="2" borderId="18" xfId="1" applyFont="1" applyFill="1" applyBorder="1"/>
    <xf numFmtId="0" fontId="14" fillId="2" borderId="21" xfId="1" applyFont="1" applyFill="1" applyBorder="1"/>
    <xf numFmtId="0" fontId="5" fillId="4" borderId="22" xfId="1" applyFont="1" applyFill="1" applyBorder="1" applyAlignment="1">
      <alignment horizontal="center" vertical="center"/>
    </xf>
    <xf numFmtId="0" fontId="9" fillId="4" borderId="22" xfId="1" applyFont="1" applyFill="1" applyBorder="1" applyAlignment="1">
      <alignment vertical="center"/>
    </xf>
    <xf numFmtId="0" fontId="5" fillId="4" borderId="22" xfId="1" applyFont="1" applyFill="1" applyBorder="1" applyAlignment="1">
      <alignment horizontal="center" vertical="center" wrapText="1"/>
    </xf>
    <xf numFmtId="0" fontId="9" fillId="2" borderId="6" xfId="1" applyFont="1" applyFill="1" applyBorder="1" applyAlignment="1">
      <alignment vertical="center"/>
    </xf>
    <xf numFmtId="20" fontId="5" fillId="2" borderId="6" xfId="1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left" wrapText="1" readingOrder="1"/>
    </xf>
    <xf numFmtId="0" fontId="10" fillId="2" borderId="4" xfId="1" applyFont="1" applyFill="1" applyBorder="1"/>
    <xf numFmtId="0" fontId="10" fillId="2" borderId="3" xfId="1" applyFont="1" applyFill="1" applyBorder="1"/>
    <xf numFmtId="0" fontId="10" fillId="8" borderId="1" xfId="1" applyFont="1" applyFill="1" applyBorder="1" applyAlignment="1">
      <alignment horizontal="left" vertical="center"/>
    </xf>
    <xf numFmtId="0" fontId="10" fillId="8" borderId="1" xfId="1" applyFont="1" applyFill="1" applyBorder="1" applyAlignment="1">
      <alignment horizontal="center" vertical="center"/>
    </xf>
    <xf numFmtId="0" fontId="10" fillId="8" borderId="1" xfId="1" applyFont="1" applyFill="1" applyBorder="1" applyAlignment="1">
      <alignment horizontal="left" vertical="center" wrapText="1"/>
    </xf>
    <xf numFmtId="0" fontId="10" fillId="8" borderId="1" xfId="1" applyFont="1" applyFill="1" applyBorder="1" applyAlignment="1">
      <alignment horizontal="center" vertical="center" wrapText="1"/>
    </xf>
    <xf numFmtId="167" fontId="10" fillId="8" borderId="1" xfId="1" applyNumberFormat="1" applyFont="1" applyFill="1" applyBorder="1" applyAlignment="1">
      <alignment horizontal="center" vertical="center" wrapText="1"/>
    </xf>
    <xf numFmtId="167" fontId="10" fillId="8" borderId="1" xfId="1" quotePrefix="1" applyNumberFormat="1" applyFont="1" applyFill="1" applyBorder="1" applyAlignment="1">
      <alignment horizontal="center" vertical="center" wrapText="1"/>
    </xf>
    <xf numFmtId="0" fontId="15" fillId="8" borderId="4" xfId="1" applyFont="1" applyFill="1" applyBorder="1" applyAlignment="1">
      <alignment vertical="center"/>
    </xf>
    <xf numFmtId="0" fontId="15" fillId="8" borderId="3" xfId="1" applyFont="1" applyFill="1" applyBorder="1" applyAlignment="1">
      <alignment vertical="center"/>
    </xf>
    <xf numFmtId="167" fontId="10" fillId="8" borderId="1" xfId="1" quotePrefix="1" applyNumberFormat="1" applyFont="1" applyFill="1" applyBorder="1" applyAlignment="1">
      <alignment horizontal="center" vertical="center"/>
    </xf>
    <xf numFmtId="0" fontId="8" fillId="8" borderId="4" xfId="1" applyFont="1" applyFill="1" applyBorder="1"/>
    <xf numFmtId="0" fontId="8" fillId="8" borderId="3" xfId="1" applyFont="1" applyFill="1" applyBorder="1"/>
    <xf numFmtId="0" fontId="10" fillId="8" borderId="4" xfId="1" applyFont="1" applyFill="1" applyBorder="1" applyAlignment="1">
      <alignment horizontal="center" vertical="center" wrapText="1"/>
    </xf>
    <xf numFmtId="167" fontId="10" fillId="8" borderId="7" xfId="1" applyNumberFormat="1" applyFont="1" applyFill="1" applyBorder="1" applyAlignment="1">
      <alignment horizontal="center" vertical="center" wrapText="1"/>
    </xf>
    <xf numFmtId="167" fontId="10" fillId="8" borderId="7" xfId="1" quotePrefix="1" applyNumberFormat="1" applyFont="1" applyFill="1" applyBorder="1" applyAlignment="1">
      <alignment horizontal="center" vertical="center" wrapText="1"/>
    </xf>
    <xf numFmtId="0" fontId="10" fillId="8" borderId="3" xfId="1" applyFont="1" applyFill="1" applyBorder="1" applyAlignment="1">
      <alignment horizontal="center" vertical="center"/>
    </xf>
    <xf numFmtId="0" fontId="10" fillId="8" borderId="3" xfId="1" applyFont="1" applyFill="1" applyBorder="1" applyAlignment="1">
      <alignment horizontal="left" vertical="center" wrapText="1"/>
    </xf>
    <xf numFmtId="0" fontId="10" fillId="2" borderId="1" xfId="1" applyFont="1" applyFill="1" applyBorder="1" applyAlignment="1">
      <alignment vertical="center"/>
    </xf>
    <xf numFmtId="0" fontId="10" fillId="2" borderId="4" xfId="1" applyFont="1" applyFill="1" applyBorder="1" applyAlignment="1">
      <alignment vertical="center"/>
    </xf>
    <xf numFmtId="0" fontId="10" fillId="2" borderId="3" xfId="1" applyFont="1" applyFill="1" applyBorder="1" applyAlignment="1">
      <alignment vertical="center"/>
    </xf>
    <xf numFmtId="0" fontId="15" fillId="2" borderId="4" xfId="1" applyFont="1" applyFill="1" applyBorder="1" applyAlignment="1">
      <alignment horizontal="left" vertical="center"/>
    </xf>
    <xf numFmtId="0" fontId="15" fillId="2" borderId="3" xfId="1" applyFont="1" applyFill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 wrapText="1"/>
    </xf>
    <xf numFmtId="0" fontId="0" fillId="7" borderId="0" xfId="0" applyFill="1" applyAlignment="1">
      <alignment horizontal="left" wrapText="1" readingOrder="1"/>
    </xf>
    <xf numFmtId="167" fontId="6" fillId="0" borderId="1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left" vertical="center"/>
    </xf>
    <xf numFmtId="0" fontId="5" fillId="2" borderId="4" xfId="1" applyFont="1" applyFill="1" applyBorder="1" applyAlignment="1">
      <alignment horizontal="left" vertical="center" wrapText="1"/>
    </xf>
    <xf numFmtId="0" fontId="5" fillId="2" borderId="4" xfId="1" applyFont="1" applyFill="1" applyBorder="1" applyAlignment="1">
      <alignment horizontal="center" vertical="center" wrapText="1"/>
    </xf>
    <xf numFmtId="167" fontId="5" fillId="2" borderId="7" xfId="1" applyNumberFormat="1" applyFont="1" applyFill="1" applyBorder="1" applyAlignment="1">
      <alignment horizontal="center" vertical="center" wrapText="1"/>
    </xf>
    <xf numFmtId="167" fontId="5" fillId="2" borderId="7" xfId="1" quotePrefix="1" applyNumberFormat="1" applyFont="1" applyFill="1" applyBorder="1" applyAlignment="1">
      <alignment horizontal="center" vertical="center" wrapText="1"/>
    </xf>
    <xf numFmtId="0" fontId="28" fillId="2" borderId="3" xfId="1" applyFont="1" applyFill="1" applyBorder="1" applyAlignment="1">
      <alignment vertical="center"/>
    </xf>
    <xf numFmtId="0" fontId="28" fillId="2" borderId="4" xfId="1" applyFont="1" applyFill="1" applyBorder="1" applyAlignment="1">
      <alignment vertical="center"/>
    </xf>
    <xf numFmtId="0" fontId="28" fillId="4" borderId="4" xfId="1" applyFont="1" applyFill="1" applyBorder="1" applyAlignment="1">
      <alignment vertical="center"/>
    </xf>
    <xf numFmtId="0" fontId="28" fillId="4" borderId="3" xfId="1" applyFont="1" applyFill="1" applyBorder="1" applyAlignment="1">
      <alignment vertical="center"/>
    </xf>
    <xf numFmtId="0" fontId="28" fillId="4" borderId="4" xfId="1" applyFont="1" applyFill="1" applyBorder="1" applyAlignment="1">
      <alignment horizontal="left" vertical="center"/>
    </xf>
    <xf numFmtId="0" fontId="28" fillId="4" borderId="3" xfId="1" applyFont="1" applyFill="1" applyBorder="1" applyAlignment="1">
      <alignment horizontal="left" vertical="center"/>
    </xf>
    <xf numFmtId="0" fontId="10" fillId="7" borderId="1" xfId="1" applyFont="1" applyFill="1" applyBorder="1" applyAlignment="1">
      <alignment horizontal="left" vertical="center"/>
    </xf>
    <xf numFmtId="0" fontId="10" fillId="7" borderId="1" xfId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left" vertical="center" wrapText="1"/>
    </xf>
    <xf numFmtId="0" fontId="10" fillId="7" borderId="1" xfId="1" applyFont="1" applyFill="1" applyBorder="1" applyAlignment="1">
      <alignment horizontal="center" vertical="center" wrapText="1"/>
    </xf>
    <xf numFmtId="167" fontId="10" fillId="7" borderId="1" xfId="1" quotePrefix="1" applyNumberFormat="1" applyFont="1" applyFill="1" applyBorder="1" applyAlignment="1">
      <alignment horizontal="center" vertical="center"/>
    </xf>
    <xf numFmtId="167" fontId="10" fillId="7" borderId="1" xfId="1" applyNumberFormat="1" applyFont="1" applyFill="1" applyBorder="1" applyAlignment="1">
      <alignment horizontal="center" vertical="center" wrapText="1"/>
    </xf>
    <xf numFmtId="167" fontId="10" fillId="7" borderId="1" xfId="1" quotePrefix="1" applyNumberFormat="1" applyFont="1" applyFill="1" applyBorder="1" applyAlignment="1">
      <alignment horizontal="center" vertical="center" wrapText="1"/>
    </xf>
    <xf numFmtId="0" fontId="10" fillId="7" borderId="3" xfId="1" applyFont="1" applyFill="1" applyBorder="1" applyAlignment="1">
      <alignment horizontal="center" vertical="center"/>
    </xf>
    <xf numFmtId="0" fontId="27" fillId="2" borderId="0" xfId="1" applyNumberFormat="1" applyFont="1" applyFill="1" applyBorder="1"/>
    <xf numFmtId="0" fontId="10" fillId="2" borderId="0" xfId="1" applyNumberFormat="1" applyFont="1" applyFill="1" applyBorder="1" applyAlignment="1">
      <alignment horizontal="center"/>
    </xf>
    <xf numFmtId="0" fontId="10" fillId="2" borderId="0" xfId="1" applyNumberFormat="1" applyFont="1" applyFill="1" applyBorder="1"/>
    <xf numFmtId="0" fontId="10" fillId="5" borderId="0" xfId="1" applyNumberFormat="1" applyFont="1" applyFill="1" applyBorder="1" applyAlignment="1">
      <alignment horizontal="center"/>
    </xf>
    <xf numFmtId="0" fontId="27" fillId="2" borderId="0" xfId="1" applyNumberFormat="1" applyFont="1" applyFill="1" applyBorder="1" applyAlignment="1">
      <alignment horizontal="left"/>
    </xf>
    <xf numFmtId="0" fontId="29" fillId="6" borderId="0" xfId="1" applyNumberFormat="1" applyFont="1" applyFill="1" applyBorder="1" applyAlignment="1">
      <alignment horizontal="center"/>
    </xf>
    <xf numFmtId="0" fontId="10" fillId="2" borderId="0" xfId="1" applyNumberFormat="1" applyFont="1" applyFill="1" applyBorder="1" applyAlignment="1">
      <alignment vertical="top"/>
    </xf>
    <xf numFmtId="0" fontId="1" fillId="0" borderId="0" xfId="1" applyFont="1" applyFill="1" applyBorder="1"/>
    <xf numFmtId="0" fontId="1" fillId="0" borderId="0" xfId="1" applyFont="1" applyFill="1" applyBorder="1" applyAlignment="1">
      <alignment horizontal="center"/>
    </xf>
    <xf numFmtId="0" fontId="10" fillId="0" borderId="9" xfId="1" applyFont="1" applyFill="1" applyBorder="1" applyAlignment="1">
      <alignment horizontal="left" vertical="center" wrapText="1"/>
    </xf>
    <xf numFmtId="0" fontId="10" fillId="0" borderId="2" xfId="1" applyFont="1" applyFill="1" applyBorder="1" applyAlignment="1">
      <alignment horizontal="left" vertical="center" wrapText="1"/>
    </xf>
    <xf numFmtId="0" fontId="5" fillId="4" borderId="0" xfId="1" applyFont="1" applyFill="1" applyBorder="1"/>
    <xf numFmtId="0" fontId="5" fillId="4" borderId="4" xfId="1" applyFont="1" applyFill="1" applyBorder="1" applyAlignment="1">
      <alignment horizontal="center" vertical="center" wrapText="1"/>
    </xf>
    <xf numFmtId="167" fontId="5" fillId="4" borderId="7" xfId="1" applyNumberFormat="1" applyFont="1" applyFill="1" applyBorder="1" applyAlignment="1">
      <alignment horizontal="center" vertical="center" wrapText="1"/>
    </xf>
    <xf numFmtId="167" fontId="5" fillId="4" borderId="7" xfId="1" quotePrefix="1" applyNumberFormat="1" applyFont="1" applyFill="1" applyBorder="1" applyAlignment="1">
      <alignment horizontal="center" vertical="center" wrapText="1"/>
    </xf>
    <xf numFmtId="0" fontId="5" fillId="2" borderId="4" xfId="1" applyFont="1" applyFill="1" applyBorder="1" applyAlignment="1">
      <alignment vertical="center"/>
    </xf>
    <xf numFmtId="0" fontId="5" fillId="2" borderId="3" xfId="1" applyFont="1" applyFill="1" applyBorder="1" applyAlignment="1">
      <alignment vertical="center"/>
    </xf>
    <xf numFmtId="0" fontId="10" fillId="0" borderId="9" xfId="1" applyFont="1" applyFill="1" applyBorder="1" applyAlignment="1">
      <alignment horizontal="left" vertical="center" wrapText="1"/>
    </xf>
    <xf numFmtId="0" fontId="10" fillId="0" borderId="2" xfId="1" applyFont="1" applyFill="1" applyBorder="1" applyAlignment="1">
      <alignment horizontal="left" vertical="center" wrapText="1"/>
    </xf>
    <xf numFmtId="0" fontId="10" fillId="0" borderId="5" xfId="1" applyFont="1" applyFill="1" applyBorder="1" applyAlignment="1">
      <alignment horizontal="center" vertical="center" wrapText="1"/>
    </xf>
    <xf numFmtId="0" fontId="8" fillId="0" borderId="9" xfId="1" applyFont="1" applyFill="1" applyBorder="1" applyAlignment="1">
      <alignment horizontal="left" vertical="center" wrapText="1"/>
    </xf>
    <xf numFmtId="0" fontId="8" fillId="0" borderId="5" xfId="1" applyFont="1" applyFill="1" applyBorder="1" applyAlignment="1">
      <alignment horizontal="left" vertical="center" wrapText="1"/>
    </xf>
    <xf numFmtId="0" fontId="8" fillId="0" borderId="2" xfId="1" applyFont="1" applyFill="1" applyBorder="1" applyAlignment="1">
      <alignment horizontal="left" vertical="center" wrapText="1"/>
    </xf>
    <xf numFmtId="0" fontId="8" fillId="0" borderId="9" xfId="1" applyFont="1" applyFill="1" applyBorder="1" applyAlignment="1">
      <alignment horizontal="left" vertical="center"/>
    </xf>
    <xf numFmtId="0" fontId="8" fillId="0" borderId="2" xfId="1" applyFont="1" applyFill="1" applyBorder="1" applyAlignment="1">
      <alignment horizontal="left" vertical="center"/>
    </xf>
    <xf numFmtId="0" fontId="8" fillId="0" borderId="10" xfId="1" applyFont="1" applyFill="1" applyBorder="1" applyAlignment="1">
      <alignment horizontal="center" vertical="center" wrapText="1"/>
    </xf>
    <xf numFmtId="0" fontId="8" fillId="0" borderId="11" xfId="1" applyFont="1" applyFill="1" applyBorder="1" applyAlignment="1">
      <alignment horizontal="center" vertical="center" wrapText="1"/>
    </xf>
    <xf numFmtId="0" fontId="8" fillId="0" borderId="13" xfId="1" applyFont="1" applyFill="1" applyBorder="1" applyAlignment="1">
      <alignment horizontal="center" vertical="center" wrapText="1"/>
    </xf>
    <xf numFmtId="0" fontId="8" fillId="0" borderId="8" xfId="1" applyFont="1" applyFill="1" applyBorder="1" applyAlignment="1">
      <alignment horizontal="center" vertical="center" wrapText="1"/>
    </xf>
    <xf numFmtId="0" fontId="8" fillId="0" borderId="7" xfId="1" applyFont="1" applyFill="1" applyBorder="1" applyAlignment="1">
      <alignment horizontal="center" vertical="center" wrapText="1"/>
    </xf>
    <xf numFmtId="0" fontId="8" fillId="0" borderId="4" xfId="1" applyFont="1" applyFill="1" applyBorder="1" applyAlignment="1">
      <alignment horizontal="center" vertical="center" wrapText="1"/>
    </xf>
    <xf numFmtId="0" fontId="10" fillId="0" borderId="9" xfId="1" applyFont="1" applyFill="1" applyBorder="1" applyAlignment="1">
      <alignment horizontal="left" vertical="center"/>
    </xf>
    <xf numFmtId="0" fontId="10" fillId="0" borderId="5" xfId="1" applyFont="1" applyFill="1" applyBorder="1" applyAlignment="1">
      <alignment horizontal="left" vertical="center"/>
    </xf>
    <xf numFmtId="0" fontId="10" fillId="0" borderId="2" xfId="1" applyFont="1" applyFill="1" applyBorder="1" applyAlignment="1">
      <alignment horizontal="left" vertical="center"/>
    </xf>
    <xf numFmtId="16" fontId="9" fillId="0" borderId="10" xfId="1" quotePrefix="1" applyNumberFormat="1" applyFont="1" applyFill="1" applyBorder="1" applyAlignment="1">
      <alignment horizontal="center" vertical="center"/>
    </xf>
    <xf numFmtId="16" fontId="9" fillId="0" borderId="11" xfId="1" quotePrefix="1" applyNumberFormat="1" applyFont="1" applyFill="1" applyBorder="1" applyAlignment="1">
      <alignment horizontal="center" vertical="center"/>
    </xf>
    <xf numFmtId="16" fontId="9" fillId="0" borderId="13" xfId="1" quotePrefix="1" applyNumberFormat="1" applyFont="1" applyFill="1" applyBorder="1" applyAlignment="1">
      <alignment horizontal="center" vertical="center"/>
    </xf>
    <xf numFmtId="16" fontId="9" fillId="0" borderId="8" xfId="1" quotePrefix="1" applyNumberFormat="1" applyFont="1" applyFill="1" applyBorder="1" applyAlignment="1">
      <alignment horizontal="center" vertical="center"/>
    </xf>
    <xf numFmtId="16" fontId="9" fillId="0" borderId="7" xfId="1" quotePrefix="1" applyNumberFormat="1" applyFont="1" applyFill="1" applyBorder="1" applyAlignment="1">
      <alignment horizontal="center" vertical="center"/>
    </xf>
    <xf numFmtId="16" fontId="9" fillId="0" borderId="4" xfId="1" quotePrefix="1" applyNumberFormat="1" applyFont="1" applyFill="1" applyBorder="1" applyAlignment="1">
      <alignment horizontal="center" vertical="center"/>
    </xf>
    <xf numFmtId="164" fontId="5" fillId="0" borderId="10" xfId="0" applyNumberFormat="1" applyFont="1" applyFill="1" applyBorder="1" applyAlignment="1">
      <alignment horizontal="left" vertical="center" wrapText="1"/>
    </xf>
    <xf numFmtId="164" fontId="5" fillId="0" borderId="6" xfId="0" applyNumberFormat="1" applyFont="1" applyFill="1" applyBorder="1" applyAlignment="1">
      <alignment horizontal="left" vertical="center" wrapText="1"/>
    </xf>
    <xf numFmtId="164" fontId="5" fillId="0" borderId="11" xfId="0" applyNumberFormat="1" applyFont="1" applyFill="1" applyBorder="1" applyAlignment="1">
      <alignment horizontal="left" vertical="center" wrapText="1"/>
    </xf>
    <xf numFmtId="0" fontId="5" fillId="0" borderId="9" xfId="1" applyFont="1" applyFill="1" applyBorder="1" applyAlignment="1">
      <alignment horizontal="left" vertical="center"/>
    </xf>
    <xf numFmtId="0" fontId="5" fillId="0" borderId="5" xfId="1" applyFont="1" applyFill="1" applyBorder="1" applyAlignment="1">
      <alignment horizontal="left" vertical="center"/>
    </xf>
    <xf numFmtId="0" fontId="5" fillId="0" borderId="2" xfId="1" applyFont="1" applyFill="1" applyBorder="1" applyAlignment="1">
      <alignment horizontal="left" vertical="center"/>
    </xf>
    <xf numFmtId="164" fontId="5" fillId="0" borderId="7" xfId="0" applyNumberFormat="1" applyFont="1" applyFill="1" applyBorder="1" applyAlignment="1">
      <alignment horizontal="left" vertical="center" wrapText="1"/>
    </xf>
    <xf numFmtId="164" fontId="5" fillId="0" borderId="18" xfId="0" applyNumberFormat="1" applyFont="1" applyFill="1" applyBorder="1" applyAlignment="1">
      <alignment horizontal="left" vertical="center" wrapText="1"/>
    </xf>
    <xf numFmtId="164" fontId="5" fillId="0" borderId="4" xfId="0" applyNumberFormat="1" applyFont="1" applyFill="1" applyBorder="1" applyAlignment="1">
      <alignment horizontal="left" vertical="center" wrapText="1"/>
    </xf>
    <xf numFmtId="164" fontId="2" fillId="2" borderId="0" xfId="1" applyNumberFormat="1" applyFont="1" applyFill="1" applyBorder="1" applyAlignment="1">
      <alignment horizontal="left" vertical="center" wrapText="1"/>
    </xf>
    <xf numFmtId="0" fontId="3" fillId="2" borderId="0" xfId="1" applyFont="1" applyFill="1" applyBorder="1" applyAlignment="1">
      <alignment horizontal="center" vertical="center"/>
    </xf>
    <xf numFmtId="14" fontId="13" fillId="2" borderId="1" xfId="1" quotePrefix="1" applyNumberFormat="1" applyFont="1" applyFill="1" applyBorder="1" applyAlignment="1">
      <alignment horizontal="left" wrapText="1"/>
    </xf>
    <xf numFmtId="14" fontId="13" fillId="2" borderId="5" xfId="1" quotePrefix="1" applyNumberFormat="1" applyFont="1" applyFill="1" applyBorder="1" applyAlignment="1">
      <alignment horizontal="left" wrapText="1"/>
    </xf>
    <xf numFmtId="0" fontId="23" fillId="7" borderId="0" xfId="0" applyFont="1" applyFill="1" applyAlignment="1">
      <alignment horizontal="left" wrapText="1" readingOrder="1"/>
    </xf>
    <xf numFmtId="0" fontId="0" fillId="7" borderId="0" xfId="0" applyFill="1" applyAlignment="1">
      <alignment horizontal="left" wrapText="1" readingOrder="1"/>
    </xf>
    <xf numFmtId="0" fontId="23" fillId="7" borderId="0" xfId="0" applyFont="1" applyFill="1" applyAlignment="1">
      <alignment horizontal="center" wrapText="1" readingOrder="1"/>
    </xf>
    <xf numFmtId="14" fontId="23" fillId="7" borderId="0" xfId="0" applyNumberFormat="1" applyFont="1" applyFill="1" applyAlignment="1">
      <alignment horizontal="left" wrapText="1" readingOrder="1"/>
    </xf>
    <xf numFmtId="20" fontId="23" fillId="7" borderId="0" xfId="0" applyNumberFormat="1" applyFont="1" applyFill="1" applyAlignment="1">
      <alignment horizontal="left" wrapText="1" readingOrder="1"/>
    </xf>
    <xf numFmtId="0" fontId="25" fillId="7" borderId="0" xfId="0" applyFont="1" applyFill="1" applyAlignment="1">
      <alignment horizontal="left" wrapText="1" readingOrder="1"/>
    </xf>
    <xf numFmtId="14" fontId="25" fillId="7" borderId="0" xfId="0" applyNumberFormat="1" applyFont="1" applyFill="1" applyAlignment="1">
      <alignment horizontal="left" wrapText="1" readingOrder="1"/>
    </xf>
    <xf numFmtId="20" fontId="25" fillId="7" borderId="0" xfId="0" applyNumberFormat="1" applyFont="1" applyFill="1" applyAlignment="1">
      <alignment horizontal="left" wrapText="1" readingOrder="1"/>
    </xf>
    <xf numFmtId="0" fontId="25" fillId="7" borderId="0" xfId="0" applyFont="1" applyFill="1" applyAlignment="1">
      <alignment horizontal="center" wrapText="1" readingOrder="1"/>
    </xf>
    <xf numFmtId="167" fontId="5" fillId="4" borderId="1" xfId="1" quotePrefix="1" applyNumberFormat="1" applyFont="1" applyFill="1" applyBorder="1" applyAlignment="1">
      <alignment horizontal="center" vertical="center"/>
    </xf>
    <xf numFmtId="167" fontId="5" fillId="4" borderId="1" xfId="1" applyNumberFormat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 wrapText="1"/>
    </xf>
    <xf numFmtId="167" fontId="5" fillId="7" borderId="1" xfId="1" quotePrefix="1" applyNumberFormat="1" applyFont="1" applyFill="1" applyBorder="1" applyAlignment="1">
      <alignment horizontal="center" vertical="center"/>
    </xf>
    <xf numFmtId="0" fontId="9" fillId="0" borderId="3" xfId="1" applyFont="1" applyFill="1" applyBorder="1" applyAlignment="1">
      <alignment horizontal="center" vertical="center"/>
    </xf>
    <xf numFmtId="167" fontId="5" fillId="4" borderId="1" xfId="1" applyNumberFormat="1" applyFont="1" applyFill="1" applyBorder="1" applyAlignment="1">
      <alignment horizontal="center" vertical="center" wrapText="1"/>
    </xf>
    <xf numFmtId="167" fontId="5" fillId="4" borderId="1" xfId="1" quotePrefix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left" vertical="center"/>
    </xf>
    <xf numFmtId="167" fontId="5" fillId="7" borderId="1" xfId="1" applyNumberFormat="1" applyFont="1" applyFill="1" applyBorder="1" applyAlignment="1">
      <alignment horizontal="center" vertical="center" wrapText="1"/>
    </xf>
    <xf numFmtId="167" fontId="5" fillId="7" borderId="1" xfId="1" quotePrefix="1" applyNumberFormat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167" fontId="5" fillId="2" borderId="1" xfId="1" applyNumberFormat="1" applyFont="1" applyFill="1" applyBorder="1" applyAlignment="1">
      <alignment horizontal="center" vertical="center" wrapText="1"/>
    </xf>
    <xf numFmtId="167" fontId="5" fillId="2" borderId="1" xfId="1" quotePrefix="1" applyNumberFormat="1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208"/>
  <sheetViews>
    <sheetView zoomScale="40" zoomScaleNormal="40" workbookViewId="0">
      <selection sqref="A1:XFD1048576"/>
    </sheetView>
  </sheetViews>
  <sheetFormatPr defaultColWidth="9.109375" defaultRowHeight="13.2" x14ac:dyDescent="0.25"/>
  <cols>
    <col min="1" max="1" width="8.6640625" style="158" customWidth="1"/>
    <col min="2" max="2" width="9.6640625" style="157" customWidth="1"/>
    <col min="3" max="3" width="75.88671875" style="158" customWidth="1"/>
    <col min="4" max="5" width="5.6640625" style="157" customWidth="1"/>
    <col min="6" max="6" width="7.6640625" style="157" customWidth="1"/>
    <col min="7" max="7" width="9.44140625" style="157" customWidth="1"/>
    <col min="8" max="8" width="9.77734375" style="157" customWidth="1"/>
    <col min="9" max="9" width="13" style="157" customWidth="1"/>
    <col min="10" max="10" width="74.109375" style="158" customWidth="1"/>
    <col min="11" max="256" width="9.109375" style="154"/>
    <col min="257" max="257" width="8.6640625" style="154" customWidth="1"/>
    <col min="258" max="258" width="9.6640625" style="154" customWidth="1"/>
    <col min="259" max="259" width="75.88671875" style="154" customWidth="1"/>
    <col min="260" max="261" width="5.6640625" style="154" customWidth="1"/>
    <col min="262" max="262" width="7.6640625" style="154" customWidth="1"/>
    <col min="263" max="263" width="9.44140625" style="154" customWidth="1"/>
    <col min="264" max="264" width="9.77734375" style="154" customWidth="1"/>
    <col min="265" max="265" width="13" style="154" customWidth="1"/>
    <col min="266" max="266" width="74.109375" style="154" customWidth="1"/>
    <col min="267" max="512" width="9.109375" style="154"/>
    <col min="513" max="513" width="8.6640625" style="154" customWidth="1"/>
    <col min="514" max="514" width="9.6640625" style="154" customWidth="1"/>
    <col min="515" max="515" width="75.88671875" style="154" customWidth="1"/>
    <col min="516" max="517" width="5.6640625" style="154" customWidth="1"/>
    <col min="518" max="518" width="7.6640625" style="154" customWidth="1"/>
    <col min="519" max="519" width="9.44140625" style="154" customWidth="1"/>
    <col min="520" max="520" width="9.77734375" style="154" customWidth="1"/>
    <col min="521" max="521" width="13" style="154" customWidth="1"/>
    <col min="522" max="522" width="74.109375" style="154" customWidth="1"/>
    <col min="523" max="768" width="9.109375" style="154"/>
    <col min="769" max="769" width="8.6640625" style="154" customWidth="1"/>
    <col min="770" max="770" width="9.6640625" style="154" customWidth="1"/>
    <col min="771" max="771" width="75.88671875" style="154" customWidth="1"/>
    <col min="772" max="773" width="5.6640625" style="154" customWidth="1"/>
    <col min="774" max="774" width="7.6640625" style="154" customWidth="1"/>
    <col min="775" max="775" width="9.44140625" style="154" customWidth="1"/>
    <col min="776" max="776" width="9.77734375" style="154" customWidth="1"/>
    <col min="777" max="777" width="13" style="154" customWidth="1"/>
    <col min="778" max="778" width="74.109375" style="154" customWidth="1"/>
    <col min="779" max="1024" width="9.109375" style="154"/>
    <col min="1025" max="1025" width="8.6640625" style="154" customWidth="1"/>
    <col min="1026" max="1026" width="9.6640625" style="154" customWidth="1"/>
    <col min="1027" max="1027" width="75.88671875" style="154" customWidth="1"/>
    <col min="1028" max="1029" width="5.6640625" style="154" customWidth="1"/>
    <col min="1030" max="1030" width="7.6640625" style="154" customWidth="1"/>
    <col min="1031" max="1031" width="9.44140625" style="154" customWidth="1"/>
    <col min="1032" max="1032" width="9.77734375" style="154" customWidth="1"/>
    <col min="1033" max="1033" width="13" style="154" customWidth="1"/>
    <col min="1034" max="1034" width="74.109375" style="154" customWidth="1"/>
    <col min="1035" max="1280" width="9.109375" style="154"/>
    <col min="1281" max="1281" width="8.6640625" style="154" customWidth="1"/>
    <col min="1282" max="1282" width="9.6640625" style="154" customWidth="1"/>
    <col min="1283" max="1283" width="75.88671875" style="154" customWidth="1"/>
    <col min="1284" max="1285" width="5.6640625" style="154" customWidth="1"/>
    <col min="1286" max="1286" width="7.6640625" style="154" customWidth="1"/>
    <col min="1287" max="1287" width="9.44140625" style="154" customWidth="1"/>
    <col min="1288" max="1288" width="9.77734375" style="154" customWidth="1"/>
    <col min="1289" max="1289" width="13" style="154" customWidth="1"/>
    <col min="1290" max="1290" width="74.109375" style="154" customWidth="1"/>
    <col min="1291" max="1536" width="9.109375" style="154"/>
    <col min="1537" max="1537" width="8.6640625" style="154" customWidth="1"/>
    <col min="1538" max="1538" width="9.6640625" style="154" customWidth="1"/>
    <col min="1539" max="1539" width="75.88671875" style="154" customWidth="1"/>
    <col min="1540" max="1541" width="5.6640625" style="154" customWidth="1"/>
    <col min="1542" max="1542" width="7.6640625" style="154" customWidth="1"/>
    <col min="1543" max="1543" width="9.44140625" style="154" customWidth="1"/>
    <col min="1544" max="1544" width="9.77734375" style="154" customWidth="1"/>
    <col min="1545" max="1545" width="13" style="154" customWidth="1"/>
    <col min="1546" max="1546" width="74.109375" style="154" customWidth="1"/>
    <col min="1547" max="1792" width="9.109375" style="154"/>
    <col min="1793" max="1793" width="8.6640625" style="154" customWidth="1"/>
    <col min="1794" max="1794" width="9.6640625" style="154" customWidth="1"/>
    <col min="1795" max="1795" width="75.88671875" style="154" customWidth="1"/>
    <col min="1796" max="1797" width="5.6640625" style="154" customWidth="1"/>
    <col min="1798" max="1798" width="7.6640625" style="154" customWidth="1"/>
    <col min="1799" max="1799" width="9.44140625" style="154" customWidth="1"/>
    <col min="1800" max="1800" width="9.77734375" style="154" customWidth="1"/>
    <col min="1801" max="1801" width="13" style="154" customWidth="1"/>
    <col min="1802" max="1802" width="74.109375" style="154" customWidth="1"/>
    <col min="1803" max="2048" width="9.109375" style="154"/>
    <col min="2049" max="2049" width="8.6640625" style="154" customWidth="1"/>
    <col min="2050" max="2050" width="9.6640625" style="154" customWidth="1"/>
    <col min="2051" max="2051" width="75.88671875" style="154" customWidth="1"/>
    <col min="2052" max="2053" width="5.6640625" style="154" customWidth="1"/>
    <col min="2054" max="2054" width="7.6640625" style="154" customWidth="1"/>
    <col min="2055" max="2055" width="9.44140625" style="154" customWidth="1"/>
    <col min="2056" max="2056" width="9.77734375" style="154" customWidth="1"/>
    <col min="2057" max="2057" width="13" style="154" customWidth="1"/>
    <col min="2058" max="2058" width="74.109375" style="154" customWidth="1"/>
    <col min="2059" max="2304" width="9.109375" style="154"/>
    <col min="2305" max="2305" width="8.6640625" style="154" customWidth="1"/>
    <col min="2306" max="2306" width="9.6640625" style="154" customWidth="1"/>
    <col min="2307" max="2307" width="75.88671875" style="154" customWidth="1"/>
    <col min="2308" max="2309" width="5.6640625" style="154" customWidth="1"/>
    <col min="2310" max="2310" width="7.6640625" style="154" customWidth="1"/>
    <col min="2311" max="2311" width="9.44140625" style="154" customWidth="1"/>
    <col min="2312" max="2312" width="9.77734375" style="154" customWidth="1"/>
    <col min="2313" max="2313" width="13" style="154" customWidth="1"/>
    <col min="2314" max="2314" width="74.109375" style="154" customWidth="1"/>
    <col min="2315" max="2560" width="9.109375" style="154"/>
    <col min="2561" max="2561" width="8.6640625" style="154" customWidth="1"/>
    <col min="2562" max="2562" width="9.6640625" style="154" customWidth="1"/>
    <col min="2563" max="2563" width="75.88671875" style="154" customWidth="1"/>
    <col min="2564" max="2565" width="5.6640625" style="154" customWidth="1"/>
    <col min="2566" max="2566" width="7.6640625" style="154" customWidth="1"/>
    <col min="2567" max="2567" width="9.44140625" style="154" customWidth="1"/>
    <col min="2568" max="2568" width="9.77734375" style="154" customWidth="1"/>
    <col min="2569" max="2569" width="13" style="154" customWidth="1"/>
    <col min="2570" max="2570" width="74.109375" style="154" customWidth="1"/>
    <col min="2571" max="2816" width="9.109375" style="154"/>
    <col min="2817" max="2817" width="8.6640625" style="154" customWidth="1"/>
    <col min="2818" max="2818" width="9.6640625" style="154" customWidth="1"/>
    <col min="2819" max="2819" width="75.88671875" style="154" customWidth="1"/>
    <col min="2820" max="2821" width="5.6640625" style="154" customWidth="1"/>
    <col min="2822" max="2822" width="7.6640625" style="154" customWidth="1"/>
    <col min="2823" max="2823" width="9.44140625" style="154" customWidth="1"/>
    <col min="2824" max="2824" width="9.77734375" style="154" customWidth="1"/>
    <col min="2825" max="2825" width="13" style="154" customWidth="1"/>
    <col min="2826" max="2826" width="74.109375" style="154" customWidth="1"/>
    <col min="2827" max="3072" width="9.109375" style="154"/>
    <col min="3073" max="3073" width="8.6640625" style="154" customWidth="1"/>
    <col min="3074" max="3074" width="9.6640625" style="154" customWidth="1"/>
    <col min="3075" max="3075" width="75.88671875" style="154" customWidth="1"/>
    <col min="3076" max="3077" width="5.6640625" style="154" customWidth="1"/>
    <col min="3078" max="3078" width="7.6640625" style="154" customWidth="1"/>
    <col min="3079" max="3079" width="9.44140625" style="154" customWidth="1"/>
    <col min="3080" max="3080" width="9.77734375" style="154" customWidth="1"/>
    <col min="3081" max="3081" width="13" style="154" customWidth="1"/>
    <col min="3082" max="3082" width="74.109375" style="154" customWidth="1"/>
    <col min="3083" max="3328" width="9.109375" style="154"/>
    <col min="3329" max="3329" width="8.6640625" style="154" customWidth="1"/>
    <col min="3330" max="3330" width="9.6640625" style="154" customWidth="1"/>
    <col min="3331" max="3331" width="75.88671875" style="154" customWidth="1"/>
    <col min="3332" max="3333" width="5.6640625" style="154" customWidth="1"/>
    <col min="3334" max="3334" width="7.6640625" style="154" customWidth="1"/>
    <col min="3335" max="3335" width="9.44140625" style="154" customWidth="1"/>
    <col min="3336" max="3336" width="9.77734375" style="154" customWidth="1"/>
    <col min="3337" max="3337" width="13" style="154" customWidth="1"/>
    <col min="3338" max="3338" width="74.109375" style="154" customWidth="1"/>
    <col min="3339" max="3584" width="9.109375" style="154"/>
    <col min="3585" max="3585" width="8.6640625" style="154" customWidth="1"/>
    <col min="3586" max="3586" width="9.6640625" style="154" customWidth="1"/>
    <col min="3587" max="3587" width="75.88671875" style="154" customWidth="1"/>
    <col min="3588" max="3589" width="5.6640625" style="154" customWidth="1"/>
    <col min="3590" max="3590" width="7.6640625" style="154" customWidth="1"/>
    <col min="3591" max="3591" width="9.44140625" style="154" customWidth="1"/>
    <col min="3592" max="3592" width="9.77734375" style="154" customWidth="1"/>
    <col min="3593" max="3593" width="13" style="154" customWidth="1"/>
    <col min="3594" max="3594" width="74.109375" style="154" customWidth="1"/>
    <col min="3595" max="3840" width="9.109375" style="154"/>
    <col min="3841" max="3841" width="8.6640625" style="154" customWidth="1"/>
    <col min="3842" max="3842" width="9.6640625" style="154" customWidth="1"/>
    <col min="3843" max="3843" width="75.88671875" style="154" customWidth="1"/>
    <col min="3844" max="3845" width="5.6640625" style="154" customWidth="1"/>
    <col min="3846" max="3846" width="7.6640625" style="154" customWidth="1"/>
    <col min="3847" max="3847" width="9.44140625" style="154" customWidth="1"/>
    <col min="3848" max="3848" width="9.77734375" style="154" customWidth="1"/>
    <col min="3849" max="3849" width="13" style="154" customWidth="1"/>
    <col min="3850" max="3850" width="74.109375" style="154" customWidth="1"/>
    <col min="3851" max="4096" width="9.109375" style="154"/>
    <col min="4097" max="4097" width="8.6640625" style="154" customWidth="1"/>
    <col min="4098" max="4098" width="9.6640625" style="154" customWidth="1"/>
    <col min="4099" max="4099" width="75.88671875" style="154" customWidth="1"/>
    <col min="4100" max="4101" width="5.6640625" style="154" customWidth="1"/>
    <col min="4102" max="4102" width="7.6640625" style="154" customWidth="1"/>
    <col min="4103" max="4103" width="9.44140625" style="154" customWidth="1"/>
    <col min="4104" max="4104" width="9.77734375" style="154" customWidth="1"/>
    <col min="4105" max="4105" width="13" style="154" customWidth="1"/>
    <col min="4106" max="4106" width="74.109375" style="154" customWidth="1"/>
    <col min="4107" max="4352" width="9.109375" style="154"/>
    <col min="4353" max="4353" width="8.6640625" style="154" customWidth="1"/>
    <col min="4354" max="4354" width="9.6640625" style="154" customWidth="1"/>
    <col min="4355" max="4355" width="75.88671875" style="154" customWidth="1"/>
    <col min="4356" max="4357" width="5.6640625" style="154" customWidth="1"/>
    <col min="4358" max="4358" width="7.6640625" style="154" customWidth="1"/>
    <col min="4359" max="4359" width="9.44140625" style="154" customWidth="1"/>
    <col min="4360" max="4360" width="9.77734375" style="154" customWidth="1"/>
    <col min="4361" max="4361" width="13" style="154" customWidth="1"/>
    <col min="4362" max="4362" width="74.109375" style="154" customWidth="1"/>
    <col min="4363" max="4608" width="9.109375" style="154"/>
    <col min="4609" max="4609" width="8.6640625" style="154" customWidth="1"/>
    <col min="4610" max="4610" width="9.6640625" style="154" customWidth="1"/>
    <col min="4611" max="4611" width="75.88671875" style="154" customWidth="1"/>
    <col min="4612" max="4613" width="5.6640625" style="154" customWidth="1"/>
    <col min="4614" max="4614" width="7.6640625" style="154" customWidth="1"/>
    <col min="4615" max="4615" width="9.44140625" style="154" customWidth="1"/>
    <col min="4616" max="4616" width="9.77734375" style="154" customWidth="1"/>
    <col min="4617" max="4617" width="13" style="154" customWidth="1"/>
    <col min="4618" max="4618" width="74.109375" style="154" customWidth="1"/>
    <col min="4619" max="4864" width="9.109375" style="154"/>
    <col min="4865" max="4865" width="8.6640625" style="154" customWidth="1"/>
    <col min="4866" max="4866" width="9.6640625" style="154" customWidth="1"/>
    <col min="4867" max="4867" width="75.88671875" style="154" customWidth="1"/>
    <col min="4868" max="4869" width="5.6640625" style="154" customWidth="1"/>
    <col min="4870" max="4870" width="7.6640625" style="154" customWidth="1"/>
    <col min="4871" max="4871" width="9.44140625" style="154" customWidth="1"/>
    <col min="4872" max="4872" width="9.77734375" style="154" customWidth="1"/>
    <col min="4873" max="4873" width="13" style="154" customWidth="1"/>
    <col min="4874" max="4874" width="74.109375" style="154" customWidth="1"/>
    <col min="4875" max="5120" width="9.109375" style="154"/>
    <col min="5121" max="5121" width="8.6640625" style="154" customWidth="1"/>
    <col min="5122" max="5122" width="9.6640625" style="154" customWidth="1"/>
    <col min="5123" max="5123" width="75.88671875" style="154" customWidth="1"/>
    <col min="5124" max="5125" width="5.6640625" style="154" customWidth="1"/>
    <col min="5126" max="5126" width="7.6640625" style="154" customWidth="1"/>
    <col min="5127" max="5127" width="9.44140625" style="154" customWidth="1"/>
    <col min="5128" max="5128" width="9.77734375" style="154" customWidth="1"/>
    <col min="5129" max="5129" width="13" style="154" customWidth="1"/>
    <col min="5130" max="5130" width="74.109375" style="154" customWidth="1"/>
    <col min="5131" max="5376" width="9.109375" style="154"/>
    <col min="5377" max="5377" width="8.6640625" style="154" customWidth="1"/>
    <col min="5378" max="5378" width="9.6640625" style="154" customWidth="1"/>
    <col min="5379" max="5379" width="75.88671875" style="154" customWidth="1"/>
    <col min="5380" max="5381" width="5.6640625" style="154" customWidth="1"/>
    <col min="5382" max="5382" width="7.6640625" style="154" customWidth="1"/>
    <col min="5383" max="5383" width="9.44140625" style="154" customWidth="1"/>
    <col min="5384" max="5384" width="9.77734375" style="154" customWidth="1"/>
    <col min="5385" max="5385" width="13" style="154" customWidth="1"/>
    <col min="5386" max="5386" width="74.109375" style="154" customWidth="1"/>
    <col min="5387" max="5632" width="9.109375" style="154"/>
    <col min="5633" max="5633" width="8.6640625" style="154" customWidth="1"/>
    <col min="5634" max="5634" width="9.6640625" style="154" customWidth="1"/>
    <col min="5635" max="5635" width="75.88671875" style="154" customWidth="1"/>
    <col min="5636" max="5637" width="5.6640625" style="154" customWidth="1"/>
    <col min="5638" max="5638" width="7.6640625" style="154" customWidth="1"/>
    <col min="5639" max="5639" width="9.44140625" style="154" customWidth="1"/>
    <col min="5640" max="5640" width="9.77734375" style="154" customWidth="1"/>
    <col min="5641" max="5641" width="13" style="154" customWidth="1"/>
    <col min="5642" max="5642" width="74.109375" style="154" customWidth="1"/>
    <col min="5643" max="5888" width="9.109375" style="154"/>
    <col min="5889" max="5889" width="8.6640625" style="154" customWidth="1"/>
    <col min="5890" max="5890" width="9.6640625" style="154" customWidth="1"/>
    <col min="5891" max="5891" width="75.88671875" style="154" customWidth="1"/>
    <col min="5892" max="5893" width="5.6640625" style="154" customWidth="1"/>
    <col min="5894" max="5894" width="7.6640625" style="154" customWidth="1"/>
    <col min="5895" max="5895" width="9.44140625" style="154" customWidth="1"/>
    <col min="5896" max="5896" width="9.77734375" style="154" customWidth="1"/>
    <col min="5897" max="5897" width="13" style="154" customWidth="1"/>
    <col min="5898" max="5898" width="74.109375" style="154" customWidth="1"/>
    <col min="5899" max="6144" width="9.109375" style="154"/>
    <col min="6145" max="6145" width="8.6640625" style="154" customWidth="1"/>
    <col min="6146" max="6146" width="9.6640625" style="154" customWidth="1"/>
    <col min="6147" max="6147" width="75.88671875" style="154" customWidth="1"/>
    <col min="6148" max="6149" width="5.6640625" style="154" customWidth="1"/>
    <col min="6150" max="6150" width="7.6640625" style="154" customWidth="1"/>
    <col min="6151" max="6151" width="9.44140625" style="154" customWidth="1"/>
    <col min="6152" max="6152" width="9.77734375" style="154" customWidth="1"/>
    <col min="6153" max="6153" width="13" style="154" customWidth="1"/>
    <col min="6154" max="6154" width="74.109375" style="154" customWidth="1"/>
    <col min="6155" max="6400" width="9.109375" style="154"/>
    <col min="6401" max="6401" width="8.6640625" style="154" customWidth="1"/>
    <col min="6402" max="6402" width="9.6640625" style="154" customWidth="1"/>
    <col min="6403" max="6403" width="75.88671875" style="154" customWidth="1"/>
    <col min="6404" max="6405" width="5.6640625" style="154" customWidth="1"/>
    <col min="6406" max="6406" width="7.6640625" style="154" customWidth="1"/>
    <col min="6407" max="6407" width="9.44140625" style="154" customWidth="1"/>
    <col min="6408" max="6408" width="9.77734375" style="154" customWidth="1"/>
    <col min="6409" max="6409" width="13" style="154" customWidth="1"/>
    <col min="6410" max="6410" width="74.109375" style="154" customWidth="1"/>
    <col min="6411" max="6656" width="9.109375" style="154"/>
    <col min="6657" max="6657" width="8.6640625" style="154" customWidth="1"/>
    <col min="6658" max="6658" width="9.6640625" style="154" customWidth="1"/>
    <col min="6659" max="6659" width="75.88671875" style="154" customWidth="1"/>
    <col min="6660" max="6661" width="5.6640625" style="154" customWidth="1"/>
    <col min="6662" max="6662" width="7.6640625" style="154" customWidth="1"/>
    <col min="6663" max="6663" width="9.44140625" style="154" customWidth="1"/>
    <col min="6664" max="6664" width="9.77734375" style="154" customWidth="1"/>
    <col min="6665" max="6665" width="13" style="154" customWidth="1"/>
    <col min="6666" max="6666" width="74.109375" style="154" customWidth="1"/>
    <col min="6667" max="6912" width="9.109375" style="154"/>
    <col min="6913" max="6913" width="8.6640625" style="154" customWidth="1"/>
    <col min="6914" max="6914" width="9.6640625" style="154" customWidth="1"/>
    <col min="6915" max="6915" width="75.88671875" style="154" customWidth="1"/>
    <col min="6916" max="6917" width="5.6640625" style="154" customWidth="1"/>
    <col min="6918" max="6918" width="7.6640625" style="154" customWidth="1"/>
    <col min="6919" max="6919" width="9.44140625" style="154" customWidth="1"/>
    <col min="6920" max="6920" width="9.77734375" style="154" customWidth="1"/>
    <col min="6921" max="6921" width="13" style="154" customWidth="1"/>
    <col min="6922" max="6922" width="74.109375" style="154" customWidth="1"/>
    <col min="6923" max="7168" width="9.109375" style="154"/>
    <col min="7169" max="7169" width="8.6640625" style="154" customWidth="1"/>
    <col min="7170" max="7170" width="9.6640625" style="154" customWidth="1"/>
    <col min="7171" max="7171" width="75.88671875" style="154" customWidth="1"/>
    <col min="7172" max="7173" width="5.6640625" style="154" customWidth="1"/>
    <col min="7174" max="7174" width="7.6640625" style="154" customWidth="1"/>
    <col min="7175" max="7175" width="9.44140625" style="154" customWidth="1"/>
    <col min="7176" max="7176" width="9.77734375" style="154" customWidth="1"/>
    <col min="7177" max="7177" width="13" style="154" customWidth="1"/>
    <col min="7178" max="7178" width="74.109375" style="154" customWidth="1"/>
    <col min="7179" max="7424" width="9.109375" style="154"/>
    <col min="7425" max="7425" width="8.6640625" style="154" customWidth="1"/>
    <col min="7426" max="7426" width="9.6640625" style="154" customWidth="1"/>
    <col min="7427" max="7427" width="75.88671875" style="154" customWidth="1"/>
    <col min="7428" max="7429" width="5.6640625" style="154" customWidth="1"/>
    <col min="7430" max="7430" width="7.6640625" style="154" customWidth="1"/>
    <col min="7431" max="7431" width="9.44140625" style="154" customWidth="1"/>
    <col min="7432" max="7432" width="9.77734375" style="154" customWidth="1"/>
    <col min="7433" max="7433" width="13" style="154" customWidth="1"/>
    <col min="7434" max="7434" width="74.109375" style="154" customWidth="1"/>
    <col min="7435" max="7680" width="9.109375" style="154"/>
    <col min="7681" max="7681" width="8.6640625" style="154" customWidth="1"/>
    <col min="7682" max="7682" width="9.6640625" style="154" customWidth="1"/>
    <col min="7683" max="7683" width="75.88671875" style="154" customWidth="1"/>
    <col min="7684" max="7685" width="5.6640625" style="154" customWidth="1"/>
    <col min="7686" max="7686" width="7.6640625" style="154" customWidth="1"/>
    <col min="7687" max="7687" width="9.44140625" style="154" customWidth="1"/>
    <col min="7688" max="7688" width="9.77734375" style="154" customWidth="1"/>
    <col min="7689" max="7689" width="13" style="154" customWidth="1"/>
    <col min="7690" max="7690" width="74.109375" style="154" customWidth="1"/>
    <col min="7691" max="7936" width="9.109375" style="154"/>
    <col min="7937" max="7937" width="8.6640625" style="154" customWidth="1"/>
    <col min="7938" max="7938" width="9.6640625" style="154" customWidth="1"/>
    <col min="7939" max="7939" width="75.88671875" style="154" customWidth="1"/>
    <col min="7940" max="7941" width="5.6640625" style="154" customWidth="1"/>
    <col min="7942" max="7942" width="7.6640625" style="154" customWidth="1"/>
    <col min="7943" max="7943" width="9.44140625" style="154" customWidth="1"/>
    <col min="7944" max="7944" width="9.77734375" style="154" customWidth="1"/>
    <col min="7945" max="7945" width="13" style="154" customWidth="1"/>
    <col min="7946" max="7946" width="74.109375" style="154" customWidth="1"/>
    <col min="7947" max="8192" width="9.109375" style="154"/>
    <col min="8193" max="8193" width="8.6640625" style="154" customWidth="1"/>
    <col min="8194" max="8194" width="9.6640625" style="154" customWidth="1"/>
    <col min="8195" max="8195" width="75.88671875" style="154" customWidth="1"/>
    <col min="8196" max="8197" width="5.6640625" style="154" customWidth="1"/>
    <col min="8198" max="8198" width="7.6640625" style="154" customWidth="1"/>
    <col min="8199" max="8199" width="9.44140625" style="154" customWidth="1"/>
    <col min="8200" max="8200" width="9.77734375" style="154" customWidth="1"/>
    <col min="8201" max="8201" width="13" style="154" customWidth="1"/>
    <col min="8202" max="8202" width="74.109375" style="154" customWidth="1"/>
    <col min="8203" max="8448" width="9.109375" style="154"/>
    <col min="8449" max="8449" width="8.6640625" style="154" customWidth="1"/>
    <col min="8450" max="8450" width="9.6640625" style="154" customWidth="1"/>
    <col min="8451" max="8451" width="75.88671875" style="154" customWidth="1"/>
    <col min="8452" max="8453" width="5.6640625" style="154" customWidth="1"/>
    <col min="8454" max="8454" width="7.6640625" style="154" customWidth="1"/>
    <col min="8455" max="8455" width="9.44140625" style="154" customWidth="1"/>
    <col min="8456" max="8456" width="9.77734375" style="154" customWidth="1"/>
    <col min="8457" max="8457" width="13" style="154" customWidth="1"/>
    <col min="8458" max="8458" width="74.109375" style="154" customWidth="1"/>
    <col min="8459" max="8704" width="9.109375" style="154"/>
    <col min="8705" max="8705" width="8.6640625" style="154" customWidth="1"/>
    <col min="8706" max="8706" width="9.6640625" style="154" customWidth="1"/>
    <col min="8707" max="8707" width="75.88671875" style="154" customWidth="1"/>
    <col min="8708" max="8709" width="5.6640625" style="154" customWidth="1"/>
    <col min="8710" max="8710" width="7.6640625" style="154" customWidth="1"/>
    <col min="8711" max="8711" width="9.44140625" style="154" customWidth="1"/>
    <col min="8712" max="8712" width="9.77734375" style="154" customWidth="1"/>
    <col min="8713" max="8713" width="13" style="154" customWidth="1"/>
    <col min="8714" max="8714" width="74.109375" style="154" customWidth="1"/>
    <col min="8715" max="8960" width="9.109375" style="154"/>
    <col min="8961" max="8961" width="8.6640625" style="154" customWidth="1"/>
    <col min="8962" max="8962" width="9.6640625" style="154" customWidth="1"/>
    <col min="8963" max="8963" width="75.88671875" style="154" customWidth="1"/>
    <col min="8964" max="8965" width="5.6640625" style="154" customWidth="1"/>
    <col min="8966" max="8966" width="7.6640625" style="154" customWidth="1"/>
    <col min="8967" max="8967" width="9.44140625" style="154" customWidth="1"/>
    <col min="8968" max="8968" width="9.77734375" style="154" customWidth="1"/>
    <col min="8969" max="8969" width="13" style="154" customWidth="1"/>
    <col min="8970" max="8970" width="74.109375" style="154" customWidth="1"/>
    <col min="8971" max="9216" width="9.109375" style="154"/>
    <col min="9217" max="9217" width="8.6640625" style="154" customWidth="1"/>
    <col min="9218" max="9218" width="9.6640625" style="154" customWidth="1"/>
    <col min="9219" max="9219" width="75.88671875" style="154" customWidth="1"/>
    <col min="9220" max="9221" width="5.6640625" style="154" customWidth="1"/>
    <col min="9222" max="9222" width="7.6640625" style="154" customWidth="1"/>
    <col min="9223" max="9223" width="9.44140625" style="154" customWidth="1"/>
    <col min="9224" max="9224" width="9.77734375" style="154" customWidth="1"/>
    <col min="9225" max="9225" width="13" style="154" customWidth="1"/>
    <col min="9226" max="9226" width="74.109375" style="154" customWidth="1"/>
    <col min="9227" max="9472" width="9.109375" style="154"/>
    <col min="9473" max="9473" width="8.6640625" style="154" customWidth="1"/>
    <col min="9474" max="9474" width="9.6640625" style="154" customWidth="1"/>
    <col min="9475" max="9475" width="75.88671875" style="154" customWidth="1"/>
    <col min="9476" max="9477" width="5.6640625" style="154" customWidth="1"/>
    <col min="9478" max="9478" width="7.6640625" style="154" customWidth="1"/>
    <col min="9479" max="9479" width="9.44140625" style="154" customWidth="1"/>
    <col min="9480" max="9480" width="9.77734375" style="154" customWidth="1"/>
    <col min="9481" max="9481" width="13" style="154" customWidth="1"/>
    <col min="9482" max="9482" width="74.109375" style="154" customWidth="1"/>
    <col min="9483" max="9728" width="9.109375" style="154"/>
    <col min="9729" max="9729" width="8.6640625" style="154" customWidth="1"/>
    <col min="9730" max="9730" width="9.6640625" style="154" customWidth="1"/>
    <col min="9731" max="9731" width="75.88671875" style="154" customWidth="1"/>
    <col min="9732" max="9733" width="5.6640625" style="154" customWidth="1"/>
    <col min="9734" max="9734" width="7.6640625" style="154" customWidth="1"/>
    <col min="9735" max="9735" width="9.44140625" style="154" customWidth="1"/>
    <col min="9736" max="9736" width="9.77734375" style="154" customWidth="1"/>
    <col min="9737" max="9737" width="13" style="154" customWidth="1"/>
    <col min="9738" max="9738" width="74.109375" style="154" customWidth="1"/>
    <col min="9739" max="9984" width="9.109375" style="154"/>
    <col min="9985" max="9985" width="8.6640625" style="154" customWidth="1"/>
    <col min="9986" max="9986" width="9.6640625" style="154" customWidth="1"/>
    <col min="9987" max="9987" width="75.88671875" style="154" customWidth="1"/>
    <col min="9988" max="9989" width="5.6640625" style="154" customWidth="1"/>
    <col min="9990" max="9990" width="7.6640625" style="154" customWidth="1"/>
    <col min="9991" max="9991" width="9.44140625" style="154" customWidth="1"/>
    <col min="9992" max="9992" width="9.77734375" style="154" customWidth="1"/>
    <col min="9993" max="9993" width="13" style="154" customWidth="1"/>
    <col min="9994" max="9994" width="74.109375" style="154" customWidth="1"/>
    <col min="9995" max="10240" width="9.109375" style="154"/>
    <col min="10241" max="10241" width="8.6640625" style="154" customWidth="1"/>
    <col min="10242" max="10242" width="9.6640625" style="154" customWidth="1"/>
    <col min="10243" max="10243" width="75.88671875" style="154" customWidth="1"/>
    <col min="10244" max="10245" width="5.6640625" style="154" customWidth="1"/>
    <col min="10246" max="10246" width="7.6640625" style="154" customWidth="1"/>
    <col min="10247" max="10247" width="9.44140625" style="154" customWidth="1"/>
    <col min="10248" max="10248" width="9.77734375" style="154" customWidth="1"/>
    <col min="10249" max="10249" width="13" style="154" customWidth="1"/>
    <col min="10250" max="10250" width="74.109375" style="154" customWidth="1"/>
    <col min="10251" max="10496" width="9.109375" style="154"/>
    <col min="10497" max="10497" width="8.6640625" style="154" customWidth="1"/>
    <col min="10498" max="10498" width="9.6640625" style="154" customWidth="1"/>
    <col min="10499" max="10499" width="75.88671875" style="154" customWidth="1"/>
    <col min="10500" max="10501" width="5.6640625" style="154" customWidth="1"/>
    <col min="10502" max="10502" width="7.6640625" style="154" customWidth="1"/>
    <col min="10503" max="10503" width="9.44140625" style="154" customWidth="1"/>
    <col min="10504" max="10504" width="9.77734375" style="154" customWidth="1"/>
    <col min="10505" max="10505" width="13" style="154" customWidth="1"/>
    <col min="10506" max="10506" width="74.109375" style="154" customWidth="1"/>
    <col min="10507" max="10752" width="9.109375" style="154"/>
    <col min="10753" max="10753" width="8.6640625" style="154" customWidth="1"/>
    <col min="10754" max="10754" width="9.6640625" style="154" customWidth="1"/>
    <col min="10755" max="10755" width="75.88671875" style="154" customWidth="1"/>
    <col min="10756" max="10757" width="5.6640625" style="154" customWidth="1"/>
    <col min="10758" max="10758" width="7.6640625" style="154" customWidth="1"/>
    <col min="10759" max="10759" width="9.44140625" style="154" customWidth="1"/>
    <col min="10760" max="10760" width="9.77734375" style="154" customWidth="1"/>
    <col min="10761" max="10761" width="13" style="154" customWidth="1"/>
    <col min="10762" max="10762" width="74.109375" style="154" customWidth="1"/>
    <col min="10763" max="11008" width="9.109375" style="154"/>
    <col min="11009" max="11009" width="8.6640625" style="154" customWidth="1"/>
    <col min="11010" max="11010" width="9.6640625" style="154" customWidth="1"/>
    <col min="11011" max="11011" width="75.88671875" style="154" customWidth="1"/>
    <col min="11012" max="11013" width="5.6640625" style="154" customWidth="1"/>
    <col min="11014" max="11014" width="7.6640625" style="154" customWidth="1"/>
    <col min="11015" max="11015" width="9.44140625" style="154" customWidth="1"/>
    <col min="11016" max="11016" width="9.77734375" style="154" customWidth="1"/>
    <col min="11017" max="11017" width="13" style="154" customWidth="1"/>
    <col min="11018" max="11018" width="74.109375" style="154" customWidth="1"/>
    <col min="11019" max="11264" width="9.109375" style="154"/>
    <col min="11265" max="11265" width="8.6640625" style="154" customWidth="1"/>
    <col min="11266" max="11266" width="9.6640625" style="154" customWidth="1"/>
    <col min="11267" max="11267" width="75.88671875" style="154" customWidth="1"/>
    <col min="11268" max="11269" width="5.6640625" style="154" customWidth="1"/>
    <col min="11270" max="11270" width="7.6640625" style="154" customWidth="1"/>
    <col min="11271" max="11271" width="9.44140625" style="154" customWidth="1"/>
    <col min="11272" max="11272" width="9.77734375" style="154" customWidth="1"/>
    <col min="11273" max="11273" width="13" style="154" customWidth="1"/>
    <col min="11274" max="11274" width="74.109375" style="154" customWidth="1"/>
    <col min="11275" max="11520" width="9.109375" style="154"/>
    <col min="11521" max="11521" width="8.6640625" style="154" customWidth="1"/>
    <col min="11522" max="11522" width="9.6640625" style="154" customWidth="1"/>
    <col min="11523" max="11523" width="75.88671875" style="154" customWidth="1"/>
    <col min="11524" max="11525" width="5.6640625" style="154" customWidth="1"/>
    <col min="11526" max="11526" width="7.6640625" style="154" customWidth="1"/>
    <col min="11527" max="11527" width="9.44140625" style="154" customWidth="1"/>
    <col min="11528" max="11528" width="9.77734375" style="154" customWidth="1"/>
    <col min="11529" max="11529" width="13" style="154" customWidth="1"/>
    <col min="11530" max="11530" width="74.109375" style="154" customWidth="1"/>
    <col min="11531" max="11776" width="9.109375" style="154"/>
    <col min="11777" max="11777" width="8.6640625" style="154" customWidth="1"/>
    <col min="11778" max="11778" width="9.6640625" style="154" customWidth="1"/>
    <col min="11779" max="11779" width="75.88671875" style="154" customWidth="1"/>
    <col min="11780" max="11781" width="5.6640625" style="154" customWidth="1"/>
    <col min="11782" max="11782" width="7.6640625" style="154" customWidth="1"/>
    <col min="11783" max="11783" width="9.44140625" style="154" customWidth="1"/>
    <col min="11784" max="11784" width="9.77734375" style="154" customWidth="1"/>
    <col min="11785" max="11785" width="13" style="154" customWidth="1"/>
    <col min="11786" max="11786" width="74.109375" style="154" customWidth="1"/>
    <col min="11787" max="12032" width="9.109375" style="154"/>
    <col min="12033" max="12033" width="8.6640625" style="154" customWidth="1"/>
    <col min="12034" max="12034" width="9.6640625" style="154" customWidth="1"/>
    <col min="12035" max="12035" width="75.88671875" style="154" customWidth="1"/>
    <col min="12036" max="12037" width="5.6640625" style="154" customWidth="1"/>
    <col min="12038" max="12038" width="7.6640625" style="154" customWidth="1"/>
    <col min="12039" max="12039" width="9.44140625" style="154" customWidth="1"/>
    <col min="12040" max="12040" width="9.77734375" style="154" customWidth="1"/>
    <col min="12041" max="12041" width="13" style="154" customWidth="1"/>
    <col min="12042" max="12042" width="74.109375" style="154" customWidth="1"/>
    <col min="12043" max="12288" width="9.109375" style="154"/>
    <col min="12289" max="12289" width="8.6640625" style="154" customWidth="1"/>
    <col min="12290" max="12290" width="9.6640625" style="154" customWidth="1"/>
    <col min="12291" max="12291" width="75.88671875" style="154" customWidth="1"/>
    <col min="12292" max="12293" width="5.6640625" style="154" customWidth="1"/>
    <col min="12294" max="12294" width="7.6640625" style="154" customWidth="1"/>
    <col min="12295" max="12295" width="9.44140625" style="154" customWidth="1"/>
    <col min="12296" max="12296" width="9.77734375" style="154" customWidth="1"/>
    <col min="12297" max="12297" width="13" style="154" customWidth="1"/>
    <col min="12298" max="12298" width="74.109375" style="154" customWidth="1"/>
    <col min="12299" max="12544" width="9.109375" style="154"/>
    <col min="12545" max="12545" width="8.6640625" style="154" customWidth="1"/>
    <col min="12546" max="12546" width="9.6640625" style="154" customWidth="1"/>
    <col min="12547" max="12547" width="75.88671875" style="154" customWidth="1"/>
    <col min="12548" max="12549" width="5.6640625" style="154" customWidth="1"/>
    <col min="12550" max="12550" width="7.6640625" style="154" customWidth="1"/>
    <col min="12551" max="12551" width="9.44140625" style="154" customWidth="1"/>
    <col min="12552" max="12552" width="9.77734375" style="154" customWidth="1"/>
    <col min="12553" max="12553" width="13" style="154" customWidth="1"/>
    <col min="12554" max="12554" width="74.109375" style="154" customWidth="1"/>
    <col min="12555" max="12800" width="9.109375" style="154"/>
    <col min="12801" max="12801" width="8.6640625" style="154" customWidth="1"/>
    <col min="12802" max="12802" width="9.6640625" style="154" customWidth="1"/>
    <col min="12803" max="12803" width="75.88671875" style="154" customWidth="1"/>
    <col min="12804" max="12805" width="5.6640625" style="154" customWidth="1"/>
    <col min="12806" max="12806" width="7.6640625" style="154" customWidth="1"/>
    <col min="12807" max="12807" width="9.44140625" style="154" customWidth="1"/>
    <col min="12808" max="12808" width="9.77734375" style="154" customWidth="1"/>
    <col min="12809" max="12809" width="13" style="154" customWidth="1"/>
    <col min="12810" max="12810" width="74.109375" style="154" customWidth="1"/>
    <col min="12811" max="13056" width="9.109375" style="154"/>
    <col min="13057" max="13057" width="8.6640625" style="154" customWidth="1"/>
    <col min="13058" max="13058" width="9.6640625" style="154" customWidth="1"/>
    <col min="13059" max="13059" width="75.88671875" style="154" customWidth="1"/>
    <col min="13060" max="13061" width="5.6640625" style="154" customWidth="1"/>
    <col min="13062" max="13062" width="7.6640625" style="154" customWidth="1"/>
    <col min="13063" max="13063" width="9.44140625" style="154" customWidth="1"/>
    <col min="13064" max="13064" width="9.77734375" style="154" customWidth="1"/>
    <col min="13065" max="13065" width="13" style="154" customWidth="1"/>
    <col min="13066" max="13066" width="74.109375" style="154" customWidth="1"/>
    <col min="13067" max="13312" width="9.109375" style="154"/>
    <col min="13313" max="13313" width="8.6640625" style="154" customWidth="1"/>
    <col min="13314" max="13314" width="9.6640625" style="154" customWidth="1"/>
    <col min="13315" max="13315" width="75.88671875" style="154" customWidth="1"/>
    <col min="13316" max="13317" width="5.6640625" style="154" customWidth="1"/>
    <col min="13318" max="13318" width="7.6640625" style="154" customWidth="1"/>
    <col min="13319" max="13319" width="9.44140625" style="154" customWidth="1"/>
    <col min="13320" max="13320" width="9.77734375" style="154" customWidth="1"/>
    <col min="13321" max="13321" width="13" style="154" customWidth="1"/>
    <col min="13322" max="13322" width="74.109375" style="154" customWidth="1"/>
    <col min="13323" max="13568" width="9.109375" style="154"/>
    <col min="13569" max="13569" width="8.6640625" style="154" customWidth="1"/>
    <col min="13570" max="13570" width="9.6640625" style="154" customWidth="1"/>
    <col min="13571" max="13571" width="75.88671875" style="154" customWidth="1"/>
    <col min="13572" max="13573" width="5.6640625" style="154" customWidth="1"/>
    <col min="13574" max="13574" width="7.6640625" style="154" customWidth="1"/>
    <col min="13575" max="13575" width="9.44140625" style="154" customWidth="1"/>
    <col min="13576" max="13576" width="9.77734375" style="154" customWidth="1"/>
    <col min="13577" max="13577" width="13" style="154" customWidth="1"/>
    <col min="13578" max="13578" width="74.109375" style="154" customWidth="1"/>
    <col min="13579" max="13824" width="9.109375" style="154"/>
    <col min="13825" max="13825" width="8.6640625" style="154" customWidth="1"/>
    <col min="13826" max="13826" width="9.6640625" style="154" customWidth="1"/>
    <col min="13827" max="13827" width="75.88671875" style="154" customWidth="1"/>
    <col min="13828" max="13829" width="5.6640625" style="154" customWidth="1"/>
    <col min="13830" max="13830" width="7.6640625" style="154" customWidth="1"/>
    <col min="13831" max="13831" width="9.44140625" style="154" customWidth="1"/>
    <col min="13832" max="13832" width="9.77734375" style="154" customWidth="1"/>
    <col min="13833" max="13833" width="13" style="154" customWidth="1"/>
    <col min="13834" max="13834" width="74.109375" style="154" customWidth="1"/>
    <col min="13835" max="14080" width="9.109375" style="154"/>
    <col min="14081" max="14081" width="8.6640625" style="154" customWidth="1"/>
    <col min="14082" max="14082" width="9.6640625" style="154" customWidth="1"/>
    <col min="14083" max="14083" width="75.88671875" style="154" customWidth="1"/>
    <col min="14084" max="14085" width="5.6640625" style="154" customWidth="1"/>
    <col min="14086" max="14086" width="7.6640625" style="154" customWidth="1"/>
    <col min="14087" max="14087" width="9.44140625" style="154" customWidth="1"/>
    <col min="14088" max="14088" width="9.77734375" style="154" customWidth="1"/>
    <col min="14089" max="14089" width="13" style="154" customWidth="1"/>
    <col min="14090" max="14090" width="74.109375" style="154" customWidth="1"/>
    <col min="14091" max="14336" width="9.109375" style="154"/>
    <col min="14337" max="14337" width="8.6640625" style="154" customWidth="1"/>
    <col min="14338" max="14338" width="9.6640625" style="154" customWidth="1"/>
    <col min="14339" max="14339" width="75.88671875" style="154" customWidth="1"/>
    <col min="14340" max="14341" width="5.6640625" style="154" customWidth="1"/>
    <col min="14342" max="14342" width="7.6640625" style="154" customWidth="1"/>
    <col min="14343" max="14343" width="9.44140625" style="154" customWidth="1"/>
    <col min="14344" max="14344" width="9.77734375" style="154" customWidth="1"/>
    <col min="14345" max="14345" width="13" style="154" customWidth="1"/>
    <col min="14346" max="14346" width="74.109375" style="154" customWidth="1"/>
    <col min="14347" max="14592" width="9.109375" style="154"/>
    <col min="14593" max="14593" width="8.6640625" style="154" customWidth="1"/>
    <col min="14594" max="14594" width="9.6640625" style="154" customWidth="1"/>
    <col min="14595" max="14595" width="75.88671875" style="154" customWidth="1"/>
    <col min="14596" max="14597" width="5.6640625" style="154" customWidth="1"/>
    <col min="14598" max="14598" width="7.6640625" style="154" customWidth="1"/>
    <col min="14599" max="14599" width="9.44140625" style="154" customWidth="1"/>
    <col min="14600" max="14600" width="9.77734375" style="154" customWidth="1"/>
    <col min="14601" max="14601" width="13" style="154" customWidth="1"/>
    <col min="14602" max="14602" width="74.109375" style="154" customWidth="1"/>
    <col min="14603" max="14848" width="9.109375" style="154"/>
    <col min="14849" max="14849" width="8.6640625" style="154" customWidth="1"/>
    <col min="14850" max="14850" width="9.6640625" style="154" customWidth="1"/>
    <col min="14851" max="14851" width="75.88671875" style="154" customWidth="1"/>
    <col min="14852" max="14853" width="5.6640625" style="154" customWidth="1"/>
    <col min="14854" max="14854" width="7.6640625" style="154" customWidth="1"/>
    <col min="14855" max="14855" width="9.44140625" style="154" customWidth="1"/>
    <col min="14856" max="14856" width="9.77734375" style="154" customWidth="1"/>
    <col min="14857" max="14857" width="13" style="154" customWidth="1"/>
    <col min="14858" max="14858" width="74.109375" style="154" customWidth="1"/>
    <col min="14859" max="15104" width="9.109375" style="154"/>
    <col min="15105" max="15105" width="8.6640625" style="154" customWidth="1"/>
    <col min="15106" max="15106" width="9.6640625" style="154" customWidth="1"/>
    <col min="15107" max="15107" width="75.88671875" style="154" customWidth="1"/>
    <col min="15108" max="15109" width="5.6640625" style="154" customWidth="1"/>
    <col min="15110" max="15110" width="7.6640625" style="154" customWidth="1"/>
    <col min="15111" max="15111" width="9.44140625" style="154" customWidth="1"/>
    <col min="15112" max="15112" width="9.77734375" style="154" customWidth="1"/>
    <col min="15113" max="15113" width="13" style="154" customWidth="1"/>
    <col min="15114" max="15114" width="74.109375" style="154" customWidth="1"/>
    <col min="15115" max="15360" width="9.109375" style="154"/>
    <col min="15361" max="15361" width="8.6640625" style="154" customWidth="1"/>
    <col min="15362" max="15362" width="9.6640625" style="154" customWidth="1"/>
    <col min="15363" max="15363" width="75.88671875" style="154" customWidth="1"/>
    <col min="15364" max="15365" width="5.6640625" style="154" customWidth="1"/>
    <col min="15366" max="15366" width="7.6640625" style="154" customWidth="1"/>
    <col min="15367" max="15367" width="9.44140625" style="154" customWidth="1"/>
    <col min="15368" max="15368" width="9.77734375" style="154" customWidth="1"/>
    <col min="15369" max="15369" width="13" style="154" customWidth="1"/>
    <col min="15370" max="15370" width="74.109375" style="154" customWidth="1"/>
    <col min="15371" max="15616" width="9.109375" style="154"/>
    <col min="15617" max="15617" width="8.6640625" style="154" customWidth="1"/>
    <col min="15618" max="15618" width="9.6640625" style="154" customWidth="1"/>
    <col min="15619" max="15619" width="75.88671875" style="154" customWidth="1"/>
    <col min="15620" max="15621" width="5.6640625" style="154" customWidth="1"/>
    <col min="15622" max="15622" width="7.6640625" style="154" customWidth="1"/>
    <col min="15623" max="15623" width="9.44140625" style="154" customWidth="1"/>
    <col min="15624" max="15624" width="9.77734375" style="154" customWidth="1"/>
    <col min="15625" max="15625" width="13" style="154" customWidth="1"/>
    <col min="15626" max="15626" width="74.109375" style="154" customWidth="1"/>
    <col min="15627" max="15872" width="9.109375" style="154"/>
    <col min="15873" max="15873" width="8.6640625" style="154" customWidth="1"/>
    <col min="15874" max="15874" width="9.6640625" style="154" customWidth="1"/>
    <col min="15875" max="15875" width="75.88671875" style="154" customWidth="1"/>
    <col min="15876" max="15877" width="5.6640625" style="154" customWidth="1"/>
    <col min="15878" max="15878" width="7.6640625" style="154" customWidth="1"/>
    <col min="15879" max="15879" width="9.44140625" style="154" customWidth="1"/>
    <col min="15880" max="15880" width="9.77734375" style="154" customWidth="1"/>
    <col min="15881" max="15881" width="13" style="154" customWidth="1"/>
    <col min="15882" max="15882" width="74.109375" style="154" customWidth="1"/>
    <col min="15883" max="16128" width="9.109375" style="154"/>
    <col min="16129" max="16129" width="8.6640625" style="154" customWidth="1"/>
    <col min="16130" max="16130" width="9.6640625" style="154" customWidth="1"/>
    <col min="16131" max="16131" width="75.88671875" style="154" customWidth="1"/>
    <col min="16132" max="16133" width="5.6640625" style="154" customWidth="1"/>
    <col min="16134" max="16134" width="7.6640625" style="154" customWidth="1"/>
    <col min="16135" max="16135" width="9.44140625" style="154" customWidth="1"/>
    <col min="16136" max="16136" width="9.77734375" style="154" customWidth="1"/>
    <col min="16137" max="16137" width="13" style="154" customWidth="1"/>
    <col min="16138" max="16138" width="74.109375" style="154" customWidth="1"/>
    <col min="16139" max="16384" width="9.109375" style="154"/>
  </cols>
  <sheetData>
    <row r="1" spans="1:185" s="121" customFormat="1" ht="25.2" customHeight="1" x14ac:dyDescent="0.3">
      <c r="A1" s="364">
        <f ca="1">TODAY()</f>
        <v>44656</v>
      </c>
      <c r="B1" s="365"/>
      <c r="C1" s="366"/>
      <c r="D1" s="367" t="s">
        <v>109</v>
      </c>
      <c r="E1" s="368"/>
      <c r="F1" s="368"/>
      <c r="G1" s="368"/>
      <c r="H1" s="368"/>
      <c r="I1" s="368"/>
      <c r="J1" s="369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  <c r="EB1" s="120"/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20"/>
      <c r="FU1" s="120"/>
      <c r="FV1" s="120"/>
      <c r="FW1" s="120"/>
      <c r="FX1" s="120"/>
      <c r="FY1" s="120"/>
      <c r="FZ1" s="120"/>
      <c r="GA1" s="120"/>
      <c r="GB1" s="120"/>
      <c r="GC1" s="120"/>
    </row>
    <row r="2" spans="1:185" s="121" customFormat="1" ht="25.2" customHeight="1" x14ac:dyDescent="0.3">
      <c r="A2" s="370"/>
      <c r="B2" s="371"/>
      <c r="C2" s="372"/>
      <c r="D2" s="355" t="s">
        <v>110</v>
      </c>
      <c r="E2" s="356"/>
      <c r="F2" s="356"/>
      <c r="G2" s="356"/>
      <c r="H2" s="356"/>
      <c r="I2" s="356"/>
      <c r="J2" s="357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0"/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  <c r="EA2" s="120"/>
      <c r="EB2" s="120"/>
      <c r="EC2" s="120"/>
      <c r="ED2" s="120"/>
      <c r="EE2" s="120"/>
      <c r="EF2" s="120"/>
      <c r="EG2" s="120"/>
      <c r="EH2" s="120"/>
      <c r="EI2" s="120"/>
      <c r="EJ2" s="120"/>
      <c r="EK2" s="120"/>
      <c r="EL2" s="120"/>
      <c r="EM2" s="120"/>
      <c r="EN2" s="120"/>
      <c r="EO2" s="120"/>
      <c r="EP2" s="120"/>
      <c r="EQ2" s="120"/>
      <c r="ER2" s="120"/>
      <c r="ES2" s="120"/>
      <c r="ET2" s="120"/>
      <c r="EU2" s="120"/>
      <c r="EV2" s="120"/>
      <c r="EW2" s="120"/>
      <c r="EX2" s="120"/>
      <c r="EY2" s="120"/>
      <c r="EZ2" s="120"/>
      <c r="FA2" s="120"/>
      <c r="FB2" s="120"/>
      <c r="FC2" s="120"/>
      <c r="FD2" s="120"/>
      <c r="FE2" s="120"/>
      <c r="FF2" s="120"/>
      <c r="FG2" s="120"/>
      <c r="FH2" s="120"/>
      <c r="FI2" s="120"/>
      <c r="FJ2" s="120"/>
      <c r="FK2" s="120"/>
      <c r="FL2" s="120"/>
      <c r="FM2" s="120"/>
      <c r="FN2" s="120"/>
      <c r="FO2" s="120"/>
      <c r="FP2" s="120"/>
      <c r="FQ2" s="120"/>
      <c r="FR2" s="120"/>
      <c r="FS2" s="120"/>
      <c r="FT2" s="120"/>
      <c r="FU2" s="120"/>
      <c r="FV2" s="120"/>
      <c r="FW2" s="120"/>
      <c r="FX2" s="120"/>
      <c r="FY2" s="120"/>
      <c r="FZ2" s="120"/>
      <c r="GA2" s="120"/>
      <c r="GB2" s="120"/>
      <c r="GC2" s="120"/>
    </row>
    <row r="3" spans="1:185" s="121" customFormat="1" ht="25.2" customHeight="1" x14ac:dyDescent="0.35">
      <c r="A3" s="243" t="s">
        <v>15</v>
      </c>
      <c r="B3" s="246"/>
      <c r="C3" s="247"/>
      <c r="D3" s="344" t="s">
        <v>16</v>
      </c>
      <c r="E3" s="345"/>
      <c r="F3" s="345"/>
      <c r="G3" s="345"/>
      <c r="H3" s="346"/>
      <c r="I3" s="347" t="s">
        <v>111</v>
      </c>
      <c r="J3" s="348"/>
      <c r="K3" s="123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20"/>
      <c r="CN3" s="120"/>
      <c r="CO3" s="120"/>
      <c r="CP3" s="120"/>
      <c r="CQ3" s="120"/>
      <c r="CR3" s="120"/>
      <c r="CS3" s="120"/>
      <c r="CT3" s="120"/>
      <c r="CU3" s="120"/>
      <c r="CV3" s="120"/>
      <c r="CW3" s="120"/>
      <c r="CX3" s="120"/>
      <c r="CY3" s="120"/>
      <c r="CZ3" s="120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  <c r="EA3" s="120"/>
      <c r="EB3" s="120"/>
      <c r="EC3" s="120"/>
      <c r="ED3" s="120"/>
      <c r="EE3" s="120"/>
      <c r="EF3" s="120"/>
      <c r="EG3" s="120"/>
      <c r="EH3" s="120"/>
      <c r="EI3" s="120"/>
      <c r="EJ3" s="120"/>
      <c r="EK3" s="120"/>
      <c r="EL3" s="120"/>
      <c r="EM3" s="120"/>
      <c r="EN3" s="120"/>
      <c r="EO3" s="120"/>
      <c r="EP3" s="120"/>
      <c r="EQ3" s="120"/>
      <c r="ER3" s="120"/>
      <c r="ES3" s="120"/>
      <c r="ET3" s="120"/>
      <c r="EU3" s="120"/>
      <c r="EV3" s="120"/>
      <c r="EW3" s="120"/>
      <c r="EX3" s="120"/>
      <c r="EY3" s="120"/>
      <c r="EZ3" s="120"/>
      <c r="FA3" s="120"/>
      <c r="FB3" s="120"/>
      <c r="FC3" s="120"/>
      <c r="FD3" s="120"/>
      <c r="FE3" s="120"/>
      <c r="FF3" s="120"/>
      <c r="FG3" s="120"/>
      <c r="FH3" s="120"/>
      <c r="FI3" s="120"/>
      <c r="FJ3" s="120"/>
      <c r="FK3" s="120"/>
      <c r="FL3" s="120"/>
      <c r="FM3" s="120"/>
      <c r="FN3" s="120"/>
      <c r="FO3" s="120"/>
      <c r="FP3" s="120"/>
      <c r="FQ3" s="120"/>
      <c r="FR3" s="120"/>
      <c r="FS3" s="120"/>
      <c r="FT3" s="120"/>
      <c r="FU3" s="120"/>
      <c r="FV3" s="120"/>
      <c r="FW3" s="120"/>
      <c r="FX3" s="120"/>
      <c r="FY3" s="120"/>
      <c r="FZ3" s="120"/>
      <c r="GA3" s="120"/>
      <c r="GB3" s="120"/>
      <c r="GC3" s="120"/>
    </row>
    <row r="4" spans="1:185" s="121" customFormat="1" ht="25.2" customHeight="1" x14ac:dyDescent="0.35">
      <c r="A4" s="122" t="s">
        <v>17</v>
      </c>
      <c r="B4" s="248"/>
      <c r="C4" s="124" t="s">
        <v>106</v>
      </c>
      <c r="D4" s="344" t="s">
        <v>18</v>
      </c>
      <c r="E4" s="345"/>
      <c r="F4" s="345"/>
      <c r="G4" s="345"/>
      <c r="H4" s="346"/>
      <c r="I4" s="347" t="s">
        <v>84</v>
      </c>
      <c r="J4" s="348"/>
      <c r="K4" s="123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  <c r="EB4" s="120"/>
      <c r="EC4" s="120"/>
      <c r="ED4" s="120"/>
      <c r="EE4" s="120"/>
      <c r="EF4" s="120"/>
      <c r="EG4" s="120"/>
      <c r="EH4" s="120"/>
      <c r="EI4" s="120"/>
      <c r="EJ4" s="120"/>
      <c r="EK4" s="120"/>
      <c r="EL4" s="120"/>
      <c r="EM4" s="120"/>
      <c r="EN4" s="120"/>
      <c r="EO4" s="120"/>
      <c r="EP4" s="120"/>
      <c r="EQ4" s="120"/>
      <c r="ER4" s="120"/>
      <c r="ES4" s="120"/>
      <c r="ET4" s="120"/>
      <c r="EU4" s="120"/>
      <c r="EV4" s="120"/>
      <c r="EW4" s="120"/>
      <c r="EX4" s="120"/>
      <c r="EY4" s="120"/>
      <c r="EZ4" s="120"/>
      <c r="FA4" s="120"/>
      <c r="FB4" s="120"/>
      <c r="FC4" s="120"/>
      <c r="FD4" s="120"/>
      <c r="FE4" s="120"/>
      <c r="FF4" s="120"/>
      <c r="FG4" s="120"/>
      <c r="FH4" s="120"/>
      <c r="FI4" s="120"/>
      <c r="FJ4" s="120"/>
      <c r="FK4" s="120"/>
      <c r="FL4" s="120"/>
      <c r="FM4" s="120"/>
      <c r="FN4" s="120"/>
      <c r="FO4" s="120"/>
      <c r="FP4" s="120"/>
      <c r="FQ4" s="120"/>
      <c r="FR4" s="120"/>
      <c r="FS4" s="120"/>
      <c r="FT4" s="120"/>
      <c r="FU4" s="120"/>
      <c r="FV4" s="120"/>
      <c r="FW4" s="120"/>
      <c r="FX4" s="120"/>
      <c r="FY4" s="120"/>
      <c r="FZ4" s="120"/>
      <c r="GA4" s="120"/>
      <c r="GB4" s="120"/>
      <c r="GC4" s="120"/>
    </row>
    <row r="5" spans="1:185" s="128" customFormat="1" ht="25.2" customHeight="1" x14ac:dyDescent="0.35">
      <c r="A5" s="349"/>
      <c r="B5" s="350"/>
      <c r="C5" s="122" t="s">
        <v>112</v>
      </c>
      <c r="D5" s="355" t="s">
        <v>19</v>
      </c>
      <c r="E5" s="356"/>
      <c r="F5" s="357"/>
      <c r="G5" s="125">
        <v>44657</v>
      </c>
      <c r="H5" s="125">
        <v>44658</v>
      </c>
      <c r="I5" s="358"/>
      <c r="J5" s="359"/>
      <c r="K5" s="126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7"/>
      <c r="AP5" s="127"/>
      <c r="AQ5" s="127"/>
      <c r="AR5" s="127"/>
      <c r="AS5" s="127"/>
      <c r="AT5" s="127"/>
      <c r="AU5" s="127"/>
      <c r="AV5" s="127"/>
      <c r="AW5" s="127"/>
      <c r="AX5" s="127"/>
      <c r="AY5" s="127"/>
      <c r="AZ5" s="127"/>
      <c r="BA5" s="127"/>
      <c r="BB5" s="127"/>
      <c r="BC5" s="127"/>
      <c r="BD5" s="127"/>
      <c r="BE5" s="127"/>
      <c r="BF5" s="127"/>
      <c r="BG5" s="127"/>
      <c r="BH5" s="127"/>
      <c r="BI5" s="127"/>
      <c r="BJ5" s="127"/>
      <c r="BK5" s="127"/>
      <c r="BL5" s="127"/>
      <c r="BM5" s="127"/>
      <c r="BN5" s="127"/>
      <c r="BO5" s="127"/>
      <c r="BP5" s="127"/>
      <c r="BQ5" s="127"/>
      <c r="BR5" s="127"/>
      <c r="BS5" s="127"/>
      <c r="BT5" s="127"/>
      <c r="BU5" s="127"/>
      <c r="BV5" s="127"/>
      <c r="BW5" s="127"/>
      <c r="BX5" s="127"/>
      <c r="BY5" s="127"/>
      <c r="BZ5" s="127"/>
      <c r="CA5" s="127"/>
      <c r="CB5" s="127"/>
      <c r="CC5" s="127"/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  <c r="CZ5" s="127"/>
      <c r="DA5" s="127"/>
      <c r="DB5" s="127"/>
      <c r="DC5" s="127"/>
      <c r="DD5" s="127"/>
      <c r="DE5" s="127"/>
      <c r="DF5" s="127"/>
      <c r="DG5" s="127"/>
      <c r="DH5" s="127"/>
      <c r="DI5" s="127"/>
      <c r="DJ5" s="127"/>
      <c r="DK5" s="127"/>
      <c r="DL5" s="127"/>
      <c r="DM5" s="127"/>
      <c r="DN5" s="127"/>
      <c r="DO5" s="127"/>
      <c r="DP5" s="127"/>
      <c r="DQ5" s="127"/>
      <c r="DR5" s="127"/>
      <c r="DS5" s="127"/>
      <c r="DT5" s="127"/>
      <c r="DU5" s="127"/>
      <c r="DV5" s="127"/>
      <c r="DW5" s="127"/>
      <c r="DX5" s="127"/>
      <c r="DY5" s="127"/>
      <c r="DZ5" s="127"/>
      <c r="EA5" s="127"/>
      <c r="EB5" s="127"/>
      <c r="EC5" s="127"/>
      <c r="ED5" s="127"/>
      <c r="EE5" s="127"/>
      <c r="EF5" s="127"/>
      <c r="EG5" s="127"/>
      <c r="EH5" s="127"/>
      <c r="EI5" s="127"/>
      <c r="EJ5" s="127"/>
      <c r="EK5" s="127"/>
      <c r="EL5" s="127"/>
      <c r="EM5" s="127"/>
      <c r="EN5" s="127"/>
      <c r="EO5" s="127"/>
      <c r="EP5" s="127"/>
      <c r="EQ5" s="127"/>
      <c r="ER5" s="127"/>
      <c r="ES5" s="127"/>
      <c r="ET5" s="127"/>
      <c r="EU5" s="127"/>
      <c r="EV5" s="127"/>
      <c r="EW5" s="127"/>
      <c r="EX5" s="127"/>
      <c r="EY5" s="127"/>
      <c r="EZ5" s="127"/>
      <c r="FA5" s="127"/>
      <c r="FB5" s="127"/>
      <c r="FC5" s="127"/>
      <c r="FD5" s="127"/>
      <c r="FE5" s="127"/>
      <c r="FF5" s="127"/>
      <c r="FG5" s="127"/>
      <c r="FH5" s="127"/>
      <c r="FI5" s="127"/>
      <c r="FJ5" s="127"/>
      <c r="FK5" s="127"/>
      <c r="FL5" s="127"/>
      <c r="FM5" s="127"/>
      <c r="FN5" s="127"/>
      <c r="FO5" s="127"/>
      <c r="FP5" s="127"/>
      <c r="FQ5" s="127"/>
      <c r="FR5" s="127"/>
      <c r="FS5" s="127"/>
      <c r="FT5" s="127"/>
      <c r="FU5" s="127"/>
      <c r="FV5" s="127"/>
      <c r="FW5" s="127"/>
      <c r="FX5" s="127"/>
      <c r="FY5" s="127"/>
      <c r="FZ5" s="127"/>
      <c r="GA5" s="127"/>
      <c r="GB5" s="127"/>
      <c r="GC5" s="127"/>
    </row>
    <row r="6" spans="1:185" s="128" customFormat="1" ht="25.2" customHeight="1" x14ac:dyDescent="0.35">
      <c r="A6" s="351"/>
      <c r="B6" s="352"/>
      <c r="C6" s="122" t="s">
        <v>107</v>
      </c>
      <c r="D6" s="355" t="s">
        <v>20</v>
      </c>
      <c r="E6" s="356"/>
      <c r="F6" s="357"/>
      <c r="G6" s="304" t="s">
        <v>85</v>
      </c>
      <c r="H6" s="304" t="s">
        <v>91</v>
      </c>
      <c r="I6" s="360"/>
      <c r="J6" s="361"/>
      <c r="K6" s="126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A6" s="127"/>
      <c r="AB6" s="127"/>
      <c r="AC6" s="127"/>
      <c r="AD6" s="127"/>
      <c r="AE6" s="127"/>
      <c r="AF6" s="127"/>
      <c r="AG6" s="127"/>
      <c r="AH6" s="127"/>
      <c r="AI6" s="127"/>
      <c r="AJ6" s="127"/>
      <c r="AK6" s="127"/>
      <c r="AL6" s="127"/>
      <c r="AM6" s="127"/>
      <c r="AN6" s="127"/>
      <c r="AO6" s="127"/>
      <c r="AP6" s="127"/>
      <c r="AQ6" s="127"/>
      <c r="AR6" s="127"/>
      <c r="AS6" s="127"/>
      <c r="AT6" s="127"/>
      <c r="AU6" s="127"/>
      <c r="AV6" s="127"/>
      <c r="AW6" s="127"/>
      <c r="AX6" s="127"/>
      <c r="AY6" s="127"/>
      <c r="AZ6" s="127"/>
      <c r="BA6" s="127"/>
      <c r="BB6" s="127"/>
      <c r="BC6" s="127"/>
      <c r="BD6" s="127"/>
      <c r="BE6" s="127"/>
      <c r="BF6" s="127"/>
      <c r="BG6" s="127"/>
      <c r="BH6" s="127"/>
      <c r="BI6" s="127"/>
      <c r="BJ6" s="127"/>
      <c r="BK6" s="127"/>
      <c r="BL6" s="127"/>
      <c r="BM6" s="127"/>
      <c r="BN6" s="127"/>
      <c r="BO6" s="127"/>
      <c r="BP6" s="127"/>
      <c r="BQ6" s="127"/>
      <c r="BR6" s="127"/>
      <c r="BS6" s="127"/>
      <c r="BT6" s="127"/>
      <c r="BU6" s="127"/>
      <c r="BV6" s="127"/>
      <c r="BW6" s="127"/>
      <c r="BX6" s="127"/>
      <c r="BY6" s="127"/>
      <c r="BZ6" s="127"/>
      <c r="CA6" s="127"/>
      <c r="CB6" s="127"/>
      <c r="CC6" s="127"/>
      <c r="CD6" s="127"/>
      <c r="CE6" s="127"/>
      <c r="CF6" s="127"/>
      <c r="CG6" s="127"/>
      <c r="CH6" s="127"/>
      <c r="CI6" s="127"/>
      <c r="CJ6" s="127"/>
      <c r="CK6" s="127"/>
      <c r="CL6" s="127"/>
      <c r="CM6" s="127"/>
      <c r="CN6" s="127"/>
      <c r="CO6" s="127"/>
      <c r="CP6" s="127"/>
      <c r="CQ6" s="127"/>
      <c r="CR6" s="127"/>
      <c r="CS6" s="127"/>
      <c r="CT6" s="127"/>
      <c r="CU6" s="127"/>
      <c r="CV6" s="127"/>
      <c r="CW6" s="127"/>
      <c r="CX6" s="127"/>
      <c r="CY6" s="127"/>
      <c r="CZ6" s="127"/>
      <c r="DA6" s="127"/>
      <c r="DB6" s="127"/>
      <c r="DC6" s="127"/>
      <c r="DD6" s="127"/>
      <c r="DE6" s="127"/>
      <c r="DF6" s="127"/>
      <c r="DG6" s="127"/>
      <c r="DH6" s="127"/>
      <c r="DI6" s="127"/>
      <c r="DJ6" s="127"/>
      <c r="DK6" s="127"/>
      <c r="DL6" s="127"/>
      <c r="DM6" s="127"/>
      <c r="DN6" s="127"/>
      <c r="DO6" s="127"/>
      <c r="DP6" s="127"/>
      <c r="DQ6" s="127"/>
      <c r="DR6" s="127"/>
      <c r="DS6" s="127"/>
      <c r="DT6" s="127"/>
      <c r="DU6" s="127"/>
      <c r="DV6" s="127"/>
      <c r="DW6" s="127"/>
      <c r="DX6" s="127"/>
      <c r="DY6" s="127"/>
      <c r="DZ6" s="127"/>
      <c r="EA6" s="127"/>
      <c r="EB6" s="127"/>
      <c r="EC6" s="127"/>
      <c r="ED6" s="127"/>
      <c r="EE6" s="127"/>
      <c r="EF6" s="127"/>
      <c r="EG6" s="127"/>
      <c r="EH6" s="127"/>
      <c r="EI6" s="127"/>
      <c r="EJ6" s="127"/>
      <c r="EK6" s="127"/>
      <c r="EL6" s="127"/>
      <c r="EM6" s="127"/>
      <c r="EN6" s="127"/>
      <c r="EO6" s="127"/>
      <c r="EP6" s="127"/>
      <c r="EQ6" s="127"/>
      <c r="ER6" s="127"/>
      <c r="ES6" s="127"/>
      <c r="ET6" s="127"/>
      <c r="EU6" s="127"/>
      <c r="EV6" s="127"/>
      <c r="EW6" s="127"/>
      <c r="EX6" s="127"/>
      <c r="EY6" s="127"/>
      <c r="EZ6" s="127"/>
      <c r="FA6" s="127"/>
      <c r="FB6" s="127"/>
      <c r="FC6" s="127"/>
      <c r="FD6" s="127"/>
      <c r="FE6" s="127"/>
      <c r="FF6" s="127"/>
      <c r="FG6" s="127"/>
      <c r="FH6" s="127"/>
      <c r="FI6" s="127"/>
      <c r="FJ6" s="127"/>
      <c r="FK6" s="127"/>
      <c r="FL6" s="127"/>
      <c r="FM6" s="127"/>
      <c r="FN6" s="127"/>
      <c r="FO6" s="127"/>
      <c r="FP6" s="127"/>
      <c r="FQ6" s="127"/>
      <c r="FR6" s="127"/>
      <c r="FS6" s="127"/>
      <c r="FT6" s="127"/>
      <c r="FU6" s="127"/>
      <c r="FV6" s="127"/>
      <c r="FW6" s="127"/>
      <c r="FX6" s="127"/>
      <c r="FY6" s="127"/>
      <c r="FZ6" s="127"/>
      <c r="GA6" s="127"/>
      <c r="GB6" s="127"/>
      <c r="GC6" s="127"/>
    </row>
    <row r="7" spans="1:185" s="131" customFormat="1" ht="25.2" customHeight="1" x14ac:dyDescent="0.35">
      <c r="A7" s="353"/>
      <c r="B7" s="354"/>
      <c r="C7" s="122" t="s">
        <v>108</v>
      </c>
      <c r="D7" s="355" t="s">
        <v>21</v>
      </c>
      <c r="E7" s="356"/>
      <c r="F7" s="357"/>
      <c r="G7" s="244" t="s">
        <v>86</v>
      </c>
      <c r="H7" s="244">
        <v>44597</v>
      </c>
      <c r="I7" s="362"/>
      <c r="J7" s="363"/>
      <c r="K7" s="129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</row>
    <row r="8" spans="1:185" s="135" customFormat="1" ht="25.2" customHeight="1" x14ac:dyDescent="0.3">
      <c r="A8" s="132"/>
      <c r="B8" s="132"/>
      <c r="C8" s="249"/>
      <c r="D8" s="21"/>
      <c r="E8" s="21"/>
      <c r="F8" s="21"/>
      <c r="G8" s="250"/>
      <c r="H8" s="133"/>
      <c r="I8" s="22"/>
      <c r="J8" s="22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I8" s="134"/>
      <c r="BJ8" s="134"/>
      <c r="BK8" s="134"/>
      <c r="BL8" s="134"/>
      <c r="BM8" s="134"/>
      <c r="BN8" s="134"/>
      <c r="BO8" s="134"/>
      <c r="BP8" s="134"/>
      <c r="BQ8" s="134"/>
      <c r="BR8" s="134"/>
      <c r="BS8" s="134"/>
      <c r="BT8" s="134"/>
      <c r="BU8" s="134"/>
      <c r="BV8" s="134"/>
      <c r="BW8" s="134"/>
      <c r="BX8" s="134"/>
      <c r="BY8" s="134"/>
      <c r="BZ8" s="134"/>
      <c r="CA8" s="134"/>
      <c r="CB8" s="134"/>
      <c r="CC8" s="134"/>
      <c r="CD8" s="134"/>
      <c r="CE8" s="134"/>
      <c r="CF8" s="134"/>
      <c r="CG8" s="134"/>
      <c r="CH8" s="134"/>
      <c r="CI8" s="134"/>
      <c r="CJ8" s="134"/>
      <c r="CK8" s="134"/>
      <c r="CL8" s="134"/>
      <c r="CM8" s="134"/>
      <c r="CN8" s="134"/>
      <c r="CO8" s="134"/>
      <c r="CP8" s="134"/>
      <c r="CQ8" s="134"/>
      <c r="CR8" s="134"/>
      <c r="CS8" s="134"/>
      <c r="CT8" s="134"/>
      <c r="CU8" s="134"/>
      <c r="CV8" s="134"/>
      <c r="CW8" s="134"/>
      <c r="CX8" s="134"/>
      <c r="CY8" s="134"/>
      <c r="CZ8" s="134"/>
      <c r="DA8" s="134"/>
      <c r="DB8" s="134"/>
      <c r="DC8" s="134"/>
      <c r="DD8" s="134"/>
      <c r="DE8" s="134"/>
      <c r="DF8" s="134"/>
      <c r="DG8" s="134"/>
      <c r="DH8" s="134"/>
      <c r="DI8" s="134"/>
      <c r="DJ8" s="134"/>
      <c r="DK8" s="134"/>
      <c r="DL8" s="134"/>
      <c r="DM8" s="134"/>
      <c r="DN8" s="134"/>
      <c r="DO8" s="134"/>
      <c r="DP8" s="134"/>
      <c r="DQ8" s="134"/>
      <c r="DR8" s="134"/>
      <c r="DS8" s="134"/>
      <c r="DT8" s="134"/>
      <c r="DU8" s="134"/>
      <c r="DV8" s="134"/>
      <c r="DW8" s="134"/>
      <c r="DX8" s="134"/>
      <c r="DY8" s="134"/>
      <c r="DZ8" s="134"/>
      <c r="EA8" s="134"/>
      <c r="EB8" s="134"/>
      <c r="EC8" s="134"/>
      <c r="ED8" s="134"/>
      <c r="EE8" s="134"/>
      <c r="EF8" s="134"/>
      <c r="EG8" s="134"/>
      <c r="EH8" s="134"/>
      <c r="EI8" s="134"/>
      <c r="EJ8" s="134"/>
      <c r="EK8" s="134"/>
      <c r="EL8" s="134"/>
      <c r="EM8" s="134"/>
      <c r="EN8" s="134"/>
      <c r="EO8" s="134"/>
      <c r="EP8" s="134"/>
      <c r="EQ8" s="134"/>
      <c r="ER8" s="134"/>
      <c r="ES8" s="134"/>
      <c r="ET8" s="134"/>
      <c r="EU8" s="134"/>
      <c r="EV8" s="134"/>
      <c r="EW8" s="134"/>
      <c r="EX8" s="134"/>
      <c r="EY8" s="134"/>
      <c r="EZ8" s="134"/>
      <c r="FA8" s="134"/>
      <c r="FB8" s="134"/>
      <c r="FC8" s="134"/>
      <c r="FD8" s="134"/>
      <c r="FE8" s="134"/>
      <c r="FF8" s="134"/>
      <c r="FG8" s="134"/>
      <c r="FH8" s="134"/>
      <c r="FI8" s="134"/>
      <c r="FJ8" s="134"/>
      <c r="FK8" s="134"/>
      <c r="FL8" s="134"/>
      <c r="FM8" s="134"/>
      <c r="FN8" s="134"/>
      <c r="FO8" s="134"/>
      <c r="FP8" s="134"/>
      <c r="FQ8" s="134"/>
      <c r="FR8" s="134"/>
      <c r="FS8" s="134"/>
      <c r="FT8" s="134"/>
      <c r="FU8" s="134"/>
      <c r="FV8" s="134"/>
      <c r="FW8" s="134"/>
      <c r="FX8" s="134"/>
      <c r="FY8" s="134"/>
      <c r="FZ8" s="134"/>
      <c r="GA8" s="134"/>
      <c r="GB8" s="134"/>
      <c r="GC8" s="134"/>
    </row>
    <row r="9" spans="1:185" s="335" customFormat="1" ht="25.2" customHeight="1" x14ac:dyDescent="0.3">
      <c r="A9" s="119">
        <v>1</v>
      </c>
      <c r="B9" s="14" t="s">
        <v>22</v>
      </c>
      <c r="C9" s="13" t="s">
        <v>128</v>
      </c>
      <c r="D9" s="11"/>
      <c r="E9" s="11" t="s">
        <v>14</v>
      </c>
      <c r="F9" s="11">
        <v>2</v>
      </c>
      <c r="G9" s="386">
        <v>44653</v>
      </c>
      <c r="H9" s="387">
        <v>44656</v>
      </c>
      <c r="I9" s="11"/>
      <c r="J9" s="13" t="s">
        <v>129</v>
      </c>
    </row>
    <row r="10" spans="1:185" s="280" customFormat="1" ht="24.6" customHeight="1" x14ac:dyDescent="0.3">
      <c r="A10" s="57">
        <v>2</v>
      </c>
      <c r="B10" s="76" t="s">
        <v>23</v>
      </c>
      <c r="C10" s="57" t="s">
        <v>79</v>
      </c>
      <c r="D10" s="78"/>
      <c r="E10" s="78" t="s">
        <v>14</v>
      </c>
      <c r="F10" s="78">
        <v>2</v>
      </c>
      <c r="G10" s="252">
        <v>44654</v>
      </c>
      <c r="H10" s="245">
        <v>44660</v>
      </c>
      <c r="I10" s="48" t="s">
        <v>24</v>
      </c>
      <c r="J10" s="57" t="s">
        <v>87</v>
      </c>
      <c r="K10" s="279"/>
    </row>
    <row r="11" spans="1:185" s="280" customFormat="1" ht="25.05" customHeight="1" x14ac:dyDescent="0.3">
      <c r="A11" s="57">
        <v>3</v>
      </c>
      <c r="B11" s="76" t="s">
        <v>23</v>
      </c>
      <c r="C11" s="57"/>
      <c r="D11" s="78"/>
      <c r="E11" s="76"/>
      <c r="F11" s="76"/>
      <c r="G11" s="253"/>
      <c r="H11" s="252"/>
      <c r="I11" s="78"/>
      <c r="J11" s="101"/>
      <c r="K11" s="279"/>
    </row>
    <row r="12" spans="1:185" s="20" customFormat="1" ht="25.05" customHeight="1" x14ac:dyDescent="0.3">
      <c r="A12" s="316">
        <v>4</v>
      </c>
      <c r="B12" s="317" t="s">
        <v>23</v>
      </c>
      <c r="C12" s="316"/>
      <c r="D12" s="318"/>
      <c r="E12" s="319"/>
      <c r="F12" s="319"/>
      <c r="G12" s="320"/>
      <c r="H12" s="320"/>
      <c r="I12" s="317"/>
      <c r="J12" s="316"/>
      <c r="K12" s="305"/>
    </row>
    <row r="13" spans="1:185" s="20" customFormat="1" ht="25.05" customHeight="1" x14ac:dyDescent="0.3">
      <c r="A13" s="186" t="s">
        <v>130</v>
      </c>
      <c r="B13" s="63" t="s">
        <v>23</v>
      </c>
      <c r="C13" s="61" t="s">
        <v>113</v>
      </c>
      <c r="D13" s="388"/>
      <c r="E13" s="388" t="s">
        <v>14</v>
      </c>
      <c r="F13" s="388">
        <v>2</v>
      </c>
      <c r="G13" s="389">
        <v>44656</v>
      </c>
      <c r="H13" s="389">
        <v>44659</v>
      </c>
      <c r="I13" s="390" t="s">
        <v>24</v>
      </c>
      <c r="J13" s="216" t="s">
        <v>76</v>
      </c>
      <c r="K13" s="305"/>
    </row>
    <row r="14" spans="1:185" s="52" customFormat="1" ht="25.05" customHeight="1" x14ac:dyDescent="0.3">
      <c r="A14" s="57">
        <v>6</v>
      </c>
      <c r="B14" s="76" t="s">
        <v>23</v>
      </c>
      <c r="C14" s="57" t="s">
        <v>80</v>
      </c>
      <c r="D14" s="78"/>
      <c r="E14" s="78" t="s">
        <v>14</v>
      </c>
      <c r="F14" s="78">
        <v>2</v>
      </c>
      <c r="G14" s="252">
        <v>44654</v>
      </c>
      <c r="H14" s="245">
        <v>44657</v>
      </c>
      <c r="I14" s="53" t="s">
        <v>24</v>
      </c>
      <c r="J14" s="176" t="s">
        <v>25</v>
      </c>
      <c r="K14" s="188"/>
    </row>
    <row r="15" spans="1:185" s="30" customFormat="1" ht="25.2" customHeight="1" x14ac:dyDescent="0.3">
      <c r="A15" s="251">
        <v>7</v>
      </c>
      <c r="B15" s="76" t="s">
        <v>26</v>
      </c>
      <c r="C15" s="57" t="s">
        <v>88</v>
      </c>
      <c r="D15" s="76"/>
      <c r="E15" s="76" t="s">
        <v>14</v>
      </c>
      <c r="F15" s="76">
        <v>2</v>
      </c>
      <c r="G15" s="253">
        <v>44655</v>
      </c>
      <c r="H15" s="252">
        <v>44660</v>
      </c>
      <c r="I15" s="53" t="s">
        <v>24</v>
      </c>
      <c r="J15" s="181" t="s">
        <v>105</v>
      </c>
      <c r="K15" s="306"/>
    </row>
    <row r="16" spans="1:185" s="288" customFormat="1" ht="30.6" customHeight="1" x14ac:dyDescent="0.3">
      <c r="A16" s="281">
        <v>8</v>
      </c>
      <c r="B16" s="282" t="s">
        <v>27</v>
      </c>
      <c r="C16" s="281"/>
      <c r="D16" s="284"/>
      <c r="E16" s="284"/>
      <c r="F16" s="284"/>
      <c r="G16" s="285"/>
      <c r="H16" s="286"/>
      <c r="I16" s="282"/>
      <c r="J16" s="283" t="s">
        <v>77</v>
      </c>
      <c r="K16" s="287"/>
    </row>
    <row r="17" spans="1:15" s="288" customFormat="1" ht="27.6" customHeight="1" x14ac:dyDescent="0.3">
      <c r="A17" s="281">
        <v>9</v>
      </c>
      <c r="B17" s="282" t="s">
        <v>23</v>
      </c>
      <c r="C17" s="283"/>
      <c r="D17" s="284"/>
      <c r="E17" s="284"/>
      <c r="F17" s="284"/>
      <c r="G17" s="285"/>
      <c r="H17" s="286"/>
      <c r="I17" s="282"/>
      <c r="J17" s="281" t="s">
        <v>77</v>
      </c>
      <c r="K17" s="287"/>
    </row>
    <row r="18" spans="1:15" s="288" customFormat="1" ht="25.05" customHeight="1" x14ac:dyDescent="0.3">
      <c r="A18" s="281">
        <v>10</v>
      </c>
      <c r="B18" s="282" t="s">
        <v>23</v>
      </c>
      <c r="C18" s="281"/>
      <c r="D18" s="284"/>
      <c r="E18" s="284"/>
      <c r="F18" s="284"/>
      <c r="G18" s="285"/>
      <c r="H18" s="289"/>
      <c r="I18" s="282"/>
      <c r="J18" s="281" t="s">
        <v>77</v>
      </c>
      <c r="K18" s="287"/>
    </row>
    <row r="19" spans="1:15" s="288" customFormat="1" ht="25.05" customHeight="1" x14ac:dyDescent="0.3">
      <c r="A19" s="281">
        <v>11</v>
      </c>
      <c r="B19" s="282" t="s">
        <v>23</v>
      </c>
      <c r="C19" s="281"/>
      <c r="D19" s="284"/>
      <c r="E19" s="284"/>
      <c r="F19" s="284"/>
      <c r="G19" s="285"/>
      <c r="H19" s="289"/>
      <c r="I19" s="282"/>
      <c r="J19" s="281" t="s">
        <v>77</v>
      </c>
      <c r="K19" s="287"/>
    </row>
    <row r="20" spans="1:15" s="288" customFormat="1" ht="25.05" customHeight="1" x14ac:dyDescent="0.3">
      <c r="A20" s="281">
        <v>12</v>
      </c>
      <c r="B20" s="282" t="s">
        <v>23</v>
      </c>
      <c r="C20" s="281"/>
      <c r="D20" s="284"/>
      <c r="E20" s="284"/>
      <c r="F20" s="284"/>
      <c r="G20" s="285"/>
      <c r="H20" s="289"/>
      <c r="I20" s="282"/>
      <c r="J20" s="281" t="s">
        <v>77</v>
      </c>
      <c r="K20" s="287"/>
    </row>
    <row r="21" spans="1:15" s="291" customFormat="1" ht="25.05" customHeight="1" x14ac:dyDescent="0.35">
      <c r="A21" s="281">
        <v>14</v>
      </c>
      <c r="B21" s="282" t="s">
        <v>23</v>
      </c>
      <c r="C21" s="281"/>
      <c r="D21" s="284"/>
      <c r="E21" s="284"/>
      <c r="F21" s="284"/>
      <c r="G21" s="285"/>
      <c r="H21" s="289"/>
      <c r="I21" s="282"/>
      <c r="J21" s="281" t="s">
        <v>77</v>
      </c>
      <c r="K21" s="290"/>
    </row>
    <row r="22" spans="1:15" s="291" customFormat="1" ht="24.6" customHeight="1" x14ac:dyDescent="0.35">
      <c r="A22" s="281">
        <v>15</v>
      </c>
      <c r="B22" s="282" t="s">
        <v>26</v>
      </c>
      <c r="C22" s="283"/>
      <c r="D22" s="282"/>
      <c r="E22" s="284"/>
      <c r="F22" s="284"/>
      <c r="G22" s="285"/>
      <c r="H22" s="286"/>
      <c r="I22" s="282"/>
      <c r="J22" s="281" t="s">
        <v>77</v>
      </c>
      <c r="K22" s="290"/>
    </row>
    <row r="23" spans="1:15" s="313" customFormat="1" ht="24.6" customHeight="1" x14ac:dyDescent="0.3">
      <c r="A23" s="119">
        <v>16</v>
      </c>
      <c r="B23" s="14" t="s">
        <v>28</v>
      </c>
      <c r="C23" s="13" t="s">
        <v>131</v>
      </c>
      <c r="D23" s="14"/>
      <c r="E23" s="14" t="s">
        <v>14</v>
      </c>
      <c r="F23" s="14">
        <v>2</v>
      </c>
      <c r="G23" s="391">
        <v>44653</v>
      </c>
      <c r="H23" s="392">
        <v>44656</v>
      </c>
      <c r="I23" s="11"/>
      <c r="J23" s="13"/>
      <c r="K23" s="312"/>
    </row>
    <row r="24" spans="1:15" s="288" customFormat="1" ht="25.05" customHeight="1" x14ac:dyDescent="0.3">
      <c r="A24" s="281">
        <v>17</v>
      </c>
      <c r="B24" s="282" t="s">
        <v>23</v>
      </c>
      <c r="C24" s="283"/>
      <c r="D24" s="284"/>
      <c r="E24" s="284"/>
      <c r="F24" s="284"/>
      <c r="G24" s="285"/>
      <c r="H24" s="286"/>
      <c r="I24" s="282"/>
      <c r="J24" s="281" t="s">
        <v>77</v>
      </c>
      <c r="K24" s="287"/>
    </row>
    <row r="25" spans="1:15" s="288" customFormat="1" ht="25.05" customHeight="1" x14ac:dyDescent="0.3">
      <c r="A25" s="281">
        <v>18</v>
      </c>
      <c r="B25" s="282" t="s">
        <v>23</v>
      </c>
      <c r="C25" s="281"/>
      <c r="D25" s="284"/>
      <c r="E25" s="284"/>
      <c r="F25" s="284"/>
      <c r="G25" s="285"/>
      <c r="H25" s="286"/>
      <c r="I25" s="282"/>
      <c r="J25" s="281" t="s">
        <v>77</v>
      </c>
      <c r="K25" s="287"/>
    </row>
    <row r="26" spans="1:15" s="288" customFormat="1" ht="25.05" customHeight="1" x14ac:dyDescent="0.3">
      <c r="A26" s="281">
        <v>19</v>
      </c>
      <c r="B26" s="282" t="s">
        <v>23</v>
      </c>
      <c r="C26" s="281"/>
      <c r="D26" s="284"/>
      <c r="E26" s="284"/>
      <c r="F26" s="284"/>
      <c r="G26" s="285"/>
      <c r="H26" s="286"/>
      <c r="I26" s="282"/>
      <c r="J26" s="283" t="s">
        <v>77</v>
      </c>
      <c r="K26" s="287"/>
    </row>
    <row r="27" spans="1:15" s="288" customFormat="1" ht="25.05" customHeight="1" x14ac:dyDescent="0.3">
      <c r="A27" s="281">
        <v>20</v>
      </c>
      <c r="B27" s="282" t="s">
        <v>23</v>
      </c>
      <c r="C27" s="281"/>
      <c r="D27" s="284"/>
      <c r="E27" s="284"/>
      <c r="F27" s="284"/>
      <c r="G27" s="285"/>
      <c r="H27" s="286"/>
      <c r="I27" s="282"/>
      <c r="J27" s="281" t="s">
        <v>77</v>
      </c>
      <c r="K27" s="292"/>
      <c r="L27" s="293"/>
      <c r="M27" s="294"/>
      <c r="N27" s="295"/>
      <c r="O27" s="296"/>
    </row>
    <row r="28" spans="1:15" s="310" customFormat="1" ht="25.05" customHeight="1" x14ac:dyDescent="0.3">
      <c r="A28" s="251">
        <v>21</v>
      </c>
      <c r="B28" s="137" t="s">
        <v>29</v>
      </c>
      <c r="C28" s="57" t="s">
        <v>89</v>
      </c>
      <c r="D28" s="76"/>
      <c r="E28" s="76" t="s">
        <v>14</v>
      </c>
      <c r="F28" s="76">
        <v>2</v>
      </c>
      <c r="G28" s="253">
        <v>44655</v>
      </c>
      <c r="H28" s="254">
        <v>44657</v>
      </c>
      <c r="I28" s="78"/>
      <c r="J28" s="101" t="s">
        <v>104</v>
      </c>
      <c r="K28" s="307"/>
      <c r="L28" s="308"/>
      <c r="M28" s="309"/>
      <c r="N28" s="29"/>
      <c r="O28" s="30"/>
    </row>
    <row r="29" spans="1:15" s="313" customFormat="1" ht="29.4" customHeight="1" x14ac:dyDescent="0.3">
      <c r="A29" s="13">
        <v>22</v>
      </c>
      <c r="B29" s="14" t="s">
        <v>23</v>
      </c>
      <c r="C29" s="13" t="s">
        <v>132</v>
      </c>
      <c r="D29" s="14"/>
      <c r="E29" s="14" t="s">
        <v>14</v>
      </c>
      <c r="F29" s="14">
        <v>2</v>
      </c>
      <c r="G29" s="391">
        <v>44652</v>
      </c>
      <c r="H29" s="392">
        <v>44656</v>
      </c>
      <c r="I29" s="11" t="s">
        <v>133</v>
      </c>
      <c r="J29" s="393" t="s">
        <v>134</v>
      </c>
      <c r="K29" s="336"/>
      <c r="L29" s="337"/>
      <c r="M29" s="338"/>
      <c r="N29" s="16"/>
      <c r="O29" s="17"/>
    </row>
    <row r="30" spans="1:15" s="313" customFormat="1" ht="25.05" customHeight="1" x14ac:dyDescent="0.3">
      <c r="A30" s="13">
        <v>23</v>
      </c>
      <c r="B30" s="14" t="s">
        <v>23</v>
      </c>
      <c r="C30" s="13" t="s">
        <v>135</v>
      </c>
      <c r="D30" s="14"/>
      <c r="E30" s="14" t="s">
        <v>14</v>
      </c>
      <c r="F30" s="14">
        <v>2</v>
      </c>
      <c r="G30" s="391">
        <v>44652</v>
      </c>
      <c r="H30" s="392">
        <v>44656</v>
      </c>
      <c r="I30" s="11" t="s">
        <v>24</v>
      </c>
      <c r="J30" s="393" t="s">
        <v>136</v>
      </c>
      <c r="K30" s="336"/>
      <c r="L30" s="337"/>
      <c r="M30" s="338"/>
      <c r="N30" s="16"/>
      <c r="O30" s="17"/>
    </row>
    <row r="31" spans="1:15" s="313" customFormat="1" ht="25.05" customHeight="1" x14ac:dyDescent="0.3">
      <c r="A31" s="13">
        <v>24</v>
      </c>
      <c r="B31" s="14" t="s">
        <v>23</v>
      </c>
      <c r="C31" s="13" t="s">
        <v>137</v>
      </c>
      <c r="D31" s="14"/>
      <c r="E31" s="14" t="s">
        <v>14</v>
      </c>
      <c r="F31" s="14">
        <v>2</v>
      </c>
      <c r="G31" s="391">
        <v>44652</v>
      </c>
      <c r="H31" s="392">
        <v>44656</v>
      </c>
      <c r="I31" s="11" t="s">
        <v>24</v>
      </c>
      <c r="J31" s="393" t="s">
        <v>138</v>
      </c>
      <c r="K31" s="312"/>
    </row>
    <row r="32" spans="1:15" s="139" customFormat="1" ht="25.05" customHeight="1" x14ac:dyDescent="0.3">
      <c r="A32" s="101">
        <v>25</v>
      </c>
      <c r="B32" s="78" t="s">
        <v>23</v>
      </c>
      <c r="C32" s="101" t="s">
        <v>75</v>
      </c>
      <c r="D32" s="78"/>
      <c r="E32" s="76" t="s">
        <v>14</v>
      </c>
      <c r="F32" s="76">
        <v>1</v>
      </c>
      <c r="G32" s="253">
        <v>44651</v>
      </c>
      <c r="H32" s="254">
        <v>44658</v>
      </c>
      <c r="I32" s="78" t="s">
        <v>24</v>
      </c>
      <c r="J32" s="57" t="s">
        <v>25</v>
      </c>
      <c r="K32" s="255"/>
    </row>
    <row r="33" spans="1:11" s="139" customFormat="1" ht="35.4" customHeight="1" x14ac:dyDescent="0.3">
      <c r="A33" s="101">
        <v>26</v>
      </c>
      <c r="B33" s="78" t="s">
        <v>23</v>
      </c>
      <c r="C33" s="57"/>
      <c r="D33" s="78"/>
      <c r="E33" s="76"/>
      <c r="F33" s="76"/>
      <c r="G33" s="253"/>
      <c r="H33" s="254"/>
      <c r="I33" s="78"/>
      <c r="J33" s="57"/>
      <c r="K33" s="255"/>
    </row>
    <row r="34" spans="1:11" s="310" customFormat="1" ht="25.05" customHeight="1" x14ac:dyDescent="0.3">
      <c r="A34" s="251">
        <v>27</v>
      </c>
      <c r="B34" s="76" t="s">
        <v>30</v>
      </c>
      <c r="C34" s="57" t="s">
        <v>90</v>
      </c>
      <c r="D34" s="78"/>
      <c r="E34" s="76" t="s">
        <v>14</v>
      </c>
      <c r="F34" s="76">
        <v>2</v>
      </c>
      <c r="G34" s="253">
        <v>44655</v>
      </c>
      <c r="H34" s="254">
        <v>44657</v>
      </c>
      <c r="I34" s="78" t="s">
        <v>83</v>
      </c>
      <c r="J34" s="101" t="s">
        <v>76</v>
      </c>
      <c r="K34" s="311"/>
    </row>
    <row r="35" spans="1:11" s="313" customFormat="1" ht="25.05" customHeight="1" x14ac:dyDescent="0.3">
      <c r="A35" s="316">
        <v>28</v>
      </c>
      <c r="B35" s="317" t="s">
        <v>26</v>
      </c>
      <c r="C35" s="316"/>
      <c r="D35" s="317"/>
      <c r="E35" s="319"/>
      <c r="F35" s="319"/>
      <c r="G35" s="321"/>
      <c r="H35" s="322"/>
      <c r="I35" s="317"/>
      <c r="J35" s="316"/>
      <c r="K35" s="312"/>
    </row>
    <row r="36" spans="1:11" s="139" customFormat="1" ht="25.05" customHeight="1" x14ac:dyDescent="0.3">
      <c r="A36" s="57">
        <v>29</v>
      </c>
      <c r="B36" s="76" t="s">
        <v>23</v>
      </c>
      <c r="C36" s="57" t="s">
        <v>81</v>
      </c>
      <c r="D36" s="76"/>
      <c r="E36" s="76" t="s">
        <v>14</v>
      </c>
      <c r="F36" s="76">
        <v>2</v>
      </c>
      <c r="G36" s="253">
        <v>44654</v>
      </c>
      <c r="H36" s="254">
        <v>44657</v>
      </c>
      <c r="I36" s="76"/>
      <c r="J36" s="101"/>
      <c r="K36" s="255"/>
    </row>
    <row r="37" spans="1:11" s="313" customFormat="1" ht="25.05" customHeight="1" x14ac:dyDescent="0.3">
      <c r="A37" s="119" t="s">
        <v>78</v>
      </c>
      <c r="B37" s="14" t="s">
        <v>23</v>
      </c>
      <c r="C37" s="13" t="s">
        <v>139</v>
      </c>
      <c r="D37" s="14"/>
      <c r="E37" s="14" t="s">
        <v>14</v>
      </c>
      <c r="F37" s="14">
        <v>2</v>
      </c>
      <c r="G37" s="391">
        <v>44653</v>
      </c>
      <c r="H37" s="392">
        <v>44656</v>
      </c>
      <c r="I37" s="11" t="s">
        <v>24</v>
      </c>
      <c r="J37" s="393" t="s">
        <v>76</v>
      </c>
      <c r="K37" s="312"/>
    </row>
    <row r="38" spans="1:11" s="313" customFormat="1" ht="25.05" customHeight="1" x14ac:dyDescent="0.3">
      <c r="A38" s="186" t="s">
        <v>140</v>
      </c>
      <c r="B38" s="63" t="s">
        <v>23</v>
      </c>
      <c r="C38" s="61" t="s">
        <v>114</v>
      </c>
      <c r="D38" s="388"/>
      <c r="E38" s="388" t="s">
        <v>14</v>
      </c>
      <c r="F38" s="388" t="s">
        <v>115</v>
      </c>
      <c r="G38" s="394">
        <v>44656</v>
      </c>
      <c r="H38" s="395">
        <v>44661</v>
      </c>
      <c r="I38" s="390" t="s">
        <v>24</v>
      </c>
      <c r="J38" s="216" t="s">
        <v>116</v>
      </c>
      <c r="K38" s="312"/>
    </row>
    <row r="39" spans="1:11" s="299" customFormat="1" ht="24.6" customHeight="1" x14ac:dyDescent="0.3">
      <c r="A39" s="251">
        <v>32</v>
      </c>
      <c r="B39" s="76" t="s">
        <v>23</v>
      </c>
      <c r="C39" s="57" t="s">
        <v>103</v>
      </c>
      <c r="D39" s="297"/>
      <c r="E39" s="297" t="s">
        <v>14</v>
      </c>
      <c r="F39" s="78">
        <v>2</v>
      </c>
      <c r="G39" s="253">
        <v>44655</v>
      </c>
      <c r="H39" s="254">
        <v>44658</v>
      </c>
      <c r="I39" s="78"/>
      <c r="J39" s="101" t="s">
        <v>104</v>
      </c>
      <c r="K39" s="298"/>
    </row>
    <row r="40" spans="1:11" s="340" customFormat="1" ht="24.6" customHeight="1" x14ac:dyDescent="0.3">
      <c r="A40" s="186" t="s">
        <v>141</v>
      </c>
      <c r="B40" s="63" t="s">
        <v>23</v>
      </c>
      <c r="C40" s="61" t="s">
        <v>117</v>
      </c>
      <c r="D40" s="396"/>
      <c r="E40" s="396" t="s">
        <v>14</v>
      </c>
      <c r="F40" s="27">
        <v>1</v>
      </c>
      <c r="G40" s="397">
        <v>44656</v>
      </c>
      <c r="H40" s="398">
        <v>44659</v>
      </c>
      <c r="I40" s="390" t="s">
        <v>24</v>
      </c>
      <c r="J40" s="216" t="s">
        <v>118</v>
      </c>
      <c r="K40" s="339"/>
    </row>
    <row r="41" spans="1:11" s="313" customFormat="1" ht="25.05" customHeight="1" x14ac:dyDescent="0.3">
      <c r="A41" s="186" t="s">
        <v>142</v>
      </c>
      <c r="B41" s="63" t="s">
        <v>23</v>
      </c>
      <c r="C41" s="61" t="s">
        <v>119</v>
      </c>
      <c r="D41" s="388"/>
      <c r="E41" s="388" t="s">
        <v>14</v>
      </c>
      <c r="F41" s="388">
        <v>1</v>
      </c>
      <c r="G41" s="394">
        <v>44656</v>
      </c>
      <c r="H41" s="395">
        <v>44659</v>
      </c>
      <c r="I41" s="390" t="s">
        <v>24</v>
      </c>
      <c r="J41" s="216" t="s">
        <v>120</v>
      </c>
      <c r="K41" s="312"/>
    </row>
    <row r="42" spans="1:11" s="313" customFormat="1" ht="25.05" customHeight="1" x14ac:dyDescent="0.3">
      <c r="A42" s="316">
        <v>35</v>
      </c>
      <c r="B42" s="317" t="s">
        <v>26</v>
      </c>
      <c r="C42" s="316"/>
      <c r="D42" s="319"/>
      <c r="E42" s="319"/>
      <c r="F42" s="319"/>
      <c r="G42" s="321"/>
      <c r="H42" s="322"/>
      <c r="I42" s="317"/>
      <c r="J42" s="318"/>
      <c r="K42" s="312"/>
    </row>
    <row r="43" spans="1:11" s="301" customFormat="1" ht="25.05" customHeight="1" x14ac:dyDescent="0.3">
      <c r="A43" s="101">
        <v>36</v>
      </c>
      <c r="B43" s="78" t="s">
        <v>31</v>
      </c>
      <c r="C43" s="57"/>
      <c r="D43" s="78"/>
      <c r="E43" s="78"/>
      <c r="F43" s="78"/>
      <c r="G43" s="252"/>
      <c r="H43" s="245"/>
      <c r="I43" s="78"/>
      <c r="J43" s="78"/>
      <c r="K43" s="300"/>
    </row>
    <row r="44" spans="1:11" s="301" customFormat="1" ht="25.05" customHeight="1" x14ac:dyDescent="0.3">
      <c r="A44" s="251">
        <v>37</v>
      </c>
      <c r="B44" s="76" t="s">
        <v>23</v>
      </c>
      <c r="C44" s="57"/>
      <c r="D44" s="78"/>
      <c r="E44" s="78"/>
      <c r="F44" s="78"/>
      <c r="G44" s="252"/>
      <c r="H44" s="245"/>
      <c r="I44" s="78"/>
      <c r="J44" s="78"/>
      <c r="K44" s="300"/>
    </row>
    <row r="45" spans="1:11" s="315" customFormat="1" ht="25.05" customHeight="1" x14ac:dyDescent="0.3">
      <c r="A45" s="318">
        <v>38</v>
      </c>
      <c r="B45" s="319" t="s">
        <v>23</v>
      </c>
      <c r="C45" s="318"/>
      <c r="D45" s="317"/>
      <c r="E45" s="319"/>
      <c r="F45" s="319"/>
      <c r="G45" s="321"/>
      <c r="H45" s="322"/>
      <c r="I45" s="323"/>
      <c r="J45" s="316"/>
      <c r="K45" s="314"/>
    </row>
    <row r="46" spans="1:11" s="315" customFormat="1" ht="25.05" customHeight="1" x14ac:dyDescent="0.3">
      <c r="A46" s="318">
        <v>39</v>
      </c>
      <c r="B46" s="319" t="s">
        <v>23</v>
      </c>
      <c r="C46" s="318"/>
      <c r="D46" s="316"/>
      <c r="E46" s="317"/>
      <c r="F46" s="317"/>
      <c r="G46" s="321"/>
      <c r="H46" s="321"/>
      <c r="I46" s="317"/>
      <c r="J46" s="316"/>
      <c r="K46" s="314"/>
    </row>
    <row r="47" spans="1:11" s="313" customFormat="1" ht="25.05" customHeight="1" x14ac:dyDescent="0.3">
      <c r="A47" s="318">
        <v>40</v>
      </c>
      <c r="B47" s="319" t="s">
        <v>23</v>
      </c>
      <c r="C47" s="318"/>
      <c r="D47" s="319"/>
      <c r="E47" s="319"/>
      <c r="F47" s="317"/>
      <c r="G47" s="321"/>
      <c r="H47" s="322"/>
      <c r="I47" s="323"/>
      <c r="J47" s="316"/>
      <c r="K47" s="312"/>
    </row>
    <row r="48" spans="1:11" s="313" customFormat="1" ht="25.05" customHeight="1" x14ac:dyDescent="0.3">
      <c r="A48" s="13">
        <v>41</v>
      </c>
      <c r="B48" s="14" t="s">
        <v>31</v>
      </c>
      <c r="C48" s="13" t="s">
        <v>143</v>
      </c>
      <c r="D48" s="14"/>
      <c r="E48" s="14" t="s">
        <v>14</v>
      </c>
      <c r="F48" s="14">
        <v>2</v>
      </c>
      <c r="G48" s="391">
        <v>44654</v>
      </c>
      <c r="H48" s="392">
        <v>44656</v>
      </c>
      <c r="I48" s="11"/>
      <c r="J48" s="393" t="s">
        <v>144</v>
      </c>
      <c r="K48" s="312"/>
    </row>
    <row r="49" spans="1:11" s="138" customFormat="1" ht="25.05" customHeight="1" x14ac:dyDescent="0.3">
      <c r="A49" s="122"/>
      <c r="B49" s="137"/>
      <c r="C49" s="122"/>
      <c r="D49" s="122"/>
      <c r="E49" s="137"/>
      <c r="F49" s="136"/>
      <c r="G49" s="143"/>
      <c r="H49" s="143"/>
      <c r="I49" s="122"/>
      <c r="J49" s="122"/>
      <c r="K49" s="256"/>
    </row>
    <row r="50" spans="1:11" s="141" customFormat="1" ht="25.2" customHeight="1" x14ac:dyDescent="0.3">
      <c r="A50" s="343"/>
      <c r="B50" s="343"/>
      <c r="C50" s="343"/>
      <c r="D50" s="343"/>
      <c r="E50" s="343"/>
      <c r="F50" s="343"/>
      <c r="G50" s="343"/>
      <c r="H50" s="343"/>
      <c r="I50" s="343"/>
      <c r="J50" s="343"/>
    </row>
    <row r="51" spans="1:11" s="144" customFormat="1" ht="25.05" customHeight="1" x14ac:dyDescent="0.3">
      <c r="A51" s="341" t="s">
        <v>32</v>
      </c>
      <c r="B51" s="342"/>
      <c r="C51" s="142" t="s">
        <v>33</v>
      </c>
      <c r="D51" s="136"/>
      <c r="E51" s="136" t="s">
        <v>14</v>
      </c>
      <c r="F51" s="136">
        <v>2</v>
      </c>
      <c r="G51" s="143"/>
      <c r="H51" s="143" t="s">
        <v>13</v>
      </c>
      <c r="I51" s="143"/>
      <c r="J51" s="142" t="s">
        <v>34</v>
      </c>
    </row>
    <row r="52" spans="1:11" s="144" customFormat="1" ht="25.05" customHeight="1" x14ac:dyDescent="0.3">
      <c r="A52" s="341" t="s">
        <v>35</v>
      </c>
      <c r="B52" s="342"/>
      <c r="C52" s="142" t="s">
        <v>36</v>
      </c>
      <c r="D52" s="136"/>
      <c r="E52" s="136" t="s">
        <v>14</v>
      </c>
      <c r="F52" s="136">
        <v>2</v>
      </c>
      <c r="G52" s="143"/>
      <c r="H52" s="143" t="s">
        <v>13</v>
      </c>
      <c r="I52" s="143"/>
      <c r="J52" s="142" t="s">
        <v>34</v>
      </c>
    </row>
    <row r="53" spans="1:11" s="144" customFormat="1" ht="25.05" customHeight="1" x14ac:dyDescent="0.3">
      <c r="A53" s="341" t="s">
        <v>37</v>
      </c>
      <c r="B53" s="342"/>
      <c r="C53" s="142" t="s">
        <v>38</v>
      </c>
      <c r="D53" s="136" t="s">
        <v>39</v>
      </c>
      <c r="E53" s="136" t="s">
        <v>14</v>
      </c>
      <c r="F53" s="136">
        <v>2</v>
      </c>
      <c r="G53" s="143"/>
      <c r="H53" s="143" t="s">
        <v>13</v>
      </c>
      <c r="I53" s="143"/>
      <c r="J53" s="142" t="s">
        <v>34</v>
      </c>
    </row>
    <row r="54" spans="1:11" s="144" customFormat="1" ht="25.05" customHeight="1" x14ac:dyDescent="0.3">
      <c r="A54" s="341" t="s">
        <v>40</v>
      </c>
      <c r="B54" s="342"/>
      <c r="C54" s="142" t="s">
        <v>41</v>
      </c>
      <c r="D54" s="136"/>
      <c r="E54" s="136" t="s">
        <v>14</v>
      </c>
      <c r="F54" s="136" t="s">
        <v>42</v>
      </c>
      <c r="G54" s="143"/>
      <c r="H54" s="143" t="s">
        <v>13</v>
      </c>
      <c r="I54" s="143"/>
      <c r="J54" s="302" t="s">
        <v>34</v>
      </c>
    </row>
    <row r="55" spans="1:11" s="144" customFormat="1" ht="25.05" customHeight="1" x14ac:dyDescent="0.3">
      <c r="A55" s="341" t="s">
        <v>44</v>
      </c>
      <c r="B55" s="342"/>
      <c r="C55" s="142" t="s">
        <v>45</v>
      </c>
      <c r="D55" s="136"/>
      <c r="E55" s="136" t="s">
        <v>14</v>
      </c>
      <c r="F55" s="136">
        <v>2</v>
      </c>
      <c r="G55" s="143"/>
      <c r="H55" s="143" t="s">
        <v>13</v>
      </c>
      <c r="I55" s="143"/>
      <c r="J55" s="142" t="s">
        <v>34</v>
      </c>
    </row>
    <row r="56" spans="1:11" s="144" customFormat="1" ht="24.6" customHeight="1" x14ac:dyDescent="0.3">
      <c r="A56" s="341" t="s">
        <v>46</v>
      </c>
      <c r="B56" s="342"/>
      <c r="C56" s="142" t="s">
        <v>47</v>
      </c>
      <c r="D56" s="136"/>
      <c r="E56" s="136" t="s">
        <v>14</v>
      </c>
      <c r="F56" s="136">
        <v>2</v>
      </c>
      <c r="G56" s="143"/>
      <c r="H56" s="143" t="s">
        <v>13</v>
      </c>
      <c r="I56" s="143"/>
      <c r="J56" s="142" t="s">
        <v>34</v>
      </c>
    </row>
    <row r="57" spans="1:11" s="144" customFormat="1" ht="25.05" customHeight="1" x14ac:dyDescent="0.3">
      <c r="A57" s="333" t="s">
        <v>43</v>
      </c>
      <c r="B57" s="334">
        <v>19</v>
      </c>
      <c r="C57" s="140" t="s">
        <v>59</v>
      </c>
      <c r="D57" s="136"/>
      <c r="E57" s="136" t="s">
        <v>14</v>
      </c>
      <c r="F57" s="136">
        <v>1</v>
      </c>
      <c r="G57" s="143"/>
      <c r="H57" s="143" t="s">
        <v>13</v>
      </c>
      <c r="I57" s="143"/>
      <c r="J57" s="142" t="s">
        <v>34</v>
      </c>
    </row>
    <row r="58" spans="1:11" s="144" customFormat="1" ht="25.05" customHeight="1" x14ac:dyDescent="0.3">
      <c r="A58" s="341" t="s">
        <v>48</v>
      </c>
      <c r="B58" s="342"/>
      <c r="C58" s="142" t="s">
        <v>49</v>
      </c>
      <c r="D58" s="136"/>
      <c r="E58" s="136" t="s">
        <v>14</v>
      </c>
      <c r="F58" s="136">
        <v>2</v>
      </c>
      <c r="G58" s="143"/>
      <c r="H58" s="145" t="s">
        <v>13</v>
      </c>
      <c r="I58" s="143"/>
      <c r="J58" s="142" t="s">
        <v>34</v>
      </c>
    </row>
    <row r="59" spans="1:11" s="144" customFormat="1" ht="25.05" customHeight="1" x14ac:dyDescent="0.3">
      <c r="A59" s="341" t="s">
        <v>50</v>
      </c>
      <c r="B59" s="342"/>
      <c r="C59" s="142" t="s">
        <v>51</v>
      </c>
      <c r="D59" s="136"/>
      <c r="E59" s="136" t="s">
        <v>14</v>
      </c>
      <c r="F59" s="136">
        <v>2</v>
      </c>
      <c r="G59" s="143"/>
      <c r="H59" s="145" t="s">
        <v>13</v>
      </c>
      <c r="I59" s="143"/>
      <c r="J59" s="142" t="s">
        <v>34</v>
      </c>
    </row>
    <row r="60" spans="1:11" s="147" customFormat="1" ht="25.05" customHeight="1" x14ac:dyDescent="0.3">
      <c r="A60" s="341" t="s">
        <v>52</v>
      </c>
      <c r="B60" s="342"/>
      <c r="C60" s="142" t="s">
        <v>53</v>
      </c>
      <c r="D60" s="136" t="s">
        <v>39</v>
      </c>
      <c r="E60" s="136" t="s">
        <v>14</v>
      </c>
      <c r="F60" s="136">
        <v>2</v>
      </c>
      <c r="G60" s="143"/>
      <c r="H60" s="145" t="s">
        <v>13</v>
      </c>
      <c r="I60" s="143"/>
      <c r="J60" s="142" t="s">
        <v>34</v>
      </c>
      <c r="K60" s="146"/>
    </row>
    <row r="61" spans="1:11" s="149" customFormat="1" ht="17.399999999999999" x14ac:dyDescent="0.3">
      <c r="A61" s="257"/>
      <c r="B61" s="257"/>
      <c r="C61" s="258"/>
      <c r="D61" s="259"/>
      <c r="E61" s="259"/>
      <c r="F61" s="259"/>
      <c r="G61" s="259"/>
      <c r="H61" s="260"/>
      <c r="I61" s="259"/>
      <c r="J61" s="258"/>
      <c r="K61" s="148"/>
    </row>
    <row r="62" spans="1:11" s="151" customFormat="1" ht="18" x14ac:dyDescent="0.35">
      <c r="A62" s="324"/>
      <c r="B62" s="325"/>
      <c r="C62" s="326"/>
      <c r="D62" s="263" t="s">
        <v>54</v>
      </c>
      <c r="E62" s="263"/>
      <c r="F62" s="261"/>
      <c r="G62" s="327"/>
      <c r="H62" s="328"/>
      <c r="I62" s="328"/>
      <c r="J62" s="262"/>
      <c r="K62" s="150"/>
    </row>
    <row r="63" spans="1:11" s="152" customFormat="1" ht="18" x14ac:dyDescent="0.35">
      <c r="A63" s="324"/>
      <c r="B63" s="325"/>
      <c r="C63" s="326"/>
      <c r="D63" s="263" t="s">
        <v>55</v>
      </c>
      <c r="E63" s="263"/>
      <c r="F63" s="263"/>
      <c r="G63" s="329"/>
      <c r="H63" s="328"/>
      <c r="I63" s="328"/>
      <c r="J63" s="330"/>
    </row>
    <row r="64" spans="1:11" x14ac:dyDescent="0.25">
      <c r="A64" s="331"/>
      <c r="B64" s="332"/>
      <c r="C64" s="331"/>
      <c r="D64" s="332"/>
      <c r="E64" s="332"/>
      <c r="F64" s="332"/>
      <c r="G64" s="332"/>
      <c r="H64" s="332"/>
      <c r="I64" s="332"/>
      <c r="J64" s="331"/>
    </row>
    <row r="65" spans="1:10" x14ac:dyDescent="0.25">
      <c r="A65" s="331"/>
      <c r="B65" s="332"/>
      <c r="C65" s="331"/>
      <c r="D65" s="332"/>
      <c r="E65" s="332"/>
      <c r="F65" s="332"/>
      <c r="G65" s="332"/>
      <c r="H65" s="332"/>
      <c r="I65" s="332"/>
      <c r="J65" s="331"/>
    </row>
    <row r="66" spans="1:10" x14ac:dyDescent="0.25">
      <c r="A66" s="331"/>
      <c r="B66" s="332"/>
      <c r="C66" s="331"/>
      <c r="D66" s="332"/>
      <c r="E66" s="332"/>
      <c r="F66" s="332"/>
      <c r="G66" s="332"/>
      <c r="H66" s="332"/>
      <c r="I66" s="332"/>
      <c r="J66" s="331"/>
    </row>
    <row r="67" spans="1:10" x14ac:dyDescent="0.25">
      <c r="A67" s="331"/>
      <c r="B67" s="332"/>
      <c r="C67" s="331"/>
      <c r="D67" s="332"/>
      <c r="E67" s="332"/>
      <c r="F67" s="332"/>
      <c r="G67" s="332"/>
      <c r="H67" s="332"/>
      <c r="I67" s="332"/>
      <c r="J67" s="331"/>
    </row>
    <row r="68" spans="1:10" x14ac:dyDescent="0.25">
      <c r="A68" s="331"/>
      <c r="B68" s="332"/>
      <c r="C68" s="331"/>
      <c r="D68" s="332"/>
      <c r="E68" s="332"/>
      <c r="F68" s="332"/>
      <c r="G68" s="332"/>
      <c r="H68" s="332"/>
      <c r="I68" s="332"/>
      <c r="J68" s="331"/>
    </row>
    <row r="69" spans="1:10" x14ac:dyDescent="0.25">
      <c r="A69" s="331"/>
      <c r="B69" s="332"/>
      <c r="C69" s="331"/>
      <c r="D69" s="332"/>
      <c r="E69" s="332"/>
      <c r="F69" s="332"/>
      <c r="G69" s="332"/>
      <c r="H69" s="332"/>
      <c r="I69" s="332"/>
      <c r="J69" s="331"/>
    </row>
    <row r="70" spans="1:10" x14ac:dyDescent="0.25">
      <c r="A70" s="8"/>
      <c r="B70" s="153"/>
      <c r="C70" s="8"/>
      <c r="D70" s="153"/>
      <c r="E70" s="153"/>
      <c r="F70" s="153"/>
      <c r="G70" s="153"/>
      <c r="H70" s="153"/>
      <c r="I70" s="153"/>
      <c r="J70" s="8"/>
    </row>
    <row r="71" spans="1:10" x14ac:dyDescent="0.25">
      <c r="A71" s="8"/>
      <c r="B71" s="153"/>
      <c r="C71" s="8"/>
      <c r="D71" s="153"/>
      <c r="E71" s="153"/>
      <c r="F71" s="153"/>
      <c r="G71" s="153"/>
      <c r="H71" s="153"/>
      <c r="I71" s="153"/>
      <c r="J71" s="8"/>
    </row>
    <row r="72" spans="1:10" x14ac:dyDescent="0.25">
      <c r="A72" s="8"/>
      <c r="B72" s="153"/>
      <c r="C72" s="8"/>
      <c r="D72" s="153"/>
      <c r="E72" s="153"/>
      <c r="F72" s="153"/>
      <c r="G72" s="153"/>
      <c r="H72" s="153"/>
      <c r="I72" s="153"/>
      <c r="J72" s="8"/>
    </row>
    <row r="73" spans="1:10" x14ac:dyDescent="0.25">
      <c r="A73" s="8"/>
      <c r="B73" s="153"/>
      <c r="C73" s="8"/>
      <c r="D73" s="153"/>
      <c r="E73" s="153"/>
      <c r="F73" s="153"/>
      <c r="G73" s="153"/>
      <c r="H73" s="153"/>
      <c r="I73" s="153"/>
      <c r="J73" s="8"/>
    </row>
    <row r="74" spans="1:10" x14ac:dyDescent="0.25">
      <c r="A74" s="8"/>
      <c r="B74" s="153"/>
      <c r="C74" s="8"/>
      <c r="D74" s="153"/>
      <c r="E74" s="153"/>
      <c r="F74" s="153"/>
      <c r="G74" s="153"/>
      <c r="H74" s="153"/>
      <c r="I74" s="153"/>
      <c r="J74" s="8"/>
    </row>
    <row r="75" spans="1:10" x14ac:dyDescent="0.25">
      <c r="A75" s="8"/>
      <c r="B75" s="153"/>
      <c r="C75" s="8"/>
      <c r="D75" s="153"/>
      <c r="E75" s="153"/>
      <c r="F75" s="153"/>
      <c r="G75" s="153"/>
      <c r="H75" s="153"/>
      <c r="I75" s="153"/>
      <c r="J75" s="8"/>
    </row>
    <row r="76" spans="1:10" x14ac:dyDescent="0.25">
      <c r="A76" s="8"/>
      <c r="B76" s="153"/>
      <c r="C76" s="8"/>
      <c r="D76" s="153"/>
      <c r="E76" s="153"/>
      <c r="F76" s="153"/>
      <c r="G76" s="153"/>
      <c r="H76" s="153"/>
      <c r="I76" s="153"/>
      <c r="J76" s="8"/>
    </row>
    <row r="77" spans="1:10" x14ac:dyDescent="0.25">
      <c r="A77" s="8"/>
      <c r="B77" s="153"/>
      <c r="C77" s="8"/>
      <c r="D77" s="153"/>
      <c r="E77" s="153"/>
      <c r="F77" s="153"/>
      <c r="G77" s="153"/>
      <c r="H77" s="153"/>
      <c r="I77" s="153"/>
      <c r="J77" s="8"/>
    </row>
    <row r="78" spans="1:10" x14ac:dyDescent="0.25">
      <c r="A78" s="8"/>
      <c r="B78" s="153"/>
      <c r="C78" s="8"/>
      <c r="D78" s="153"/>
      <c r="E78" s="153"/>
      <c r="F78" s="153"/>
      <c r="G78" s="153"/>
      <c r="H78" s="153"/>
      <c r="I78" s="153"/>
      <c r="J78" s="8"/>
    </row>
    <row r="79" spans="1:10" x14ac:dyDescent="0.25">
      <c r="A79" s="8"/>
      <c r="B79" s="153"/>
      <c r="C79" s="8"/>
      <c r="D79" s="153"/>
      <c r="E79" s="153"/>
      <c r="F79" s="153"/>
      <c r="G79" s="153"/>
      <c r="H79" s="153"/>
      <c r="I79" s="153"/>
      <c r="J79" s="8"/>
    </row>
    <row r="80" spans="1:10" x14ac:dyDescent="0.25">
      <c r="A80" s="155"/>
      <c r="B80" s="156"/>
      <c r="C80" s="155"/>
      <c r="D80" s="156"/>
      <c r="E80" s="156"/>
      <c r="F80" s="156"/>
      <c r="G80" s="156"/>
      <c r="H80" s="156"/>
      <c r="I80" s="156"/>
      <c r="J80" s="155"/>
    </row>
    <row r="81" spans="1:10" x14ac:dyDescent="0.25">
      <c r="A81" s="155"/>
      <c r="B81" s="156"/>
      <c r="C81" s="155"/>
      <c r="D81" s="156"/>
      <c r="E81" s="156"/>
      <c r="F81" s="156"/>
      <c r="G81" s="156"/>
      <c r="H81" s="156"/>
      <c r="I81" s="156"/>
      <c r="J81" s="155"/>
    </row>
    <row r="82" spans="1:10" x14ac:dyDescent="0.25">
      <c r="A82" s="155"/>
      <c r="B82" s="156"/>
      <c r="C82" s="155"/>
      <c r="D82" s="156"/>
      <c r="E82" s="156"/>
      <c r="F82" s="156"/>
      <c r="G82" s="156"/>
      <c r="H82" s="156"/>
      <c r="I82" s="156"/>
      <c r="J82" s="155"/>
    </row>
    <row r="83" spans="1:10" x14ac:dyDescent="0.25">
      <c r="A83" s="155"/>
      <c r="B83" s="156"/>
      <c r="C83" s="155"/>
      <c r="D83" s="156"/>
      <c r="E83" s="156"/>
      <c r="F83" s="156"/>
      <c r="G83" s="156"/>
      <c r="H83" s="156"/>
      <c r="I83" s="156"/>
      <c r="J83" s="155"/>
    </row>
    <row r="84" spans="1:10" x14ac:dyDescent="0.25">
      <c r="A84" s="155"/>
      <c r="B84" s="156"/>
      <c r="C84" s="155"/>
      <c r="D84" s="156"/>
      <c r="E84" s="156"/>
      <c r="F84" s="156"/>
      <c r="G84" s="156"/>
      <c r="H84" s="156"/>
      <c r="I84" s="156"/>
      <c r="J84" s="155"/>
    </row>
    <row r="85" spans="1:10" x14ac:dyDescent="0.25">
      <c r="A85" s="155"/>
      <c r="B85" s="156"/>
      <c r="C85" s="155"/>
      <c r="D85" s="156"/>
      <c r="E85" s="156"/>
      <c r="F85" s="156"/>
      <c r="G85" s="156"/>
      <c r="H85" s="156"/>
      <c r="I85" s="156"/>
      <c r="J85" s="155"/>
    </row>
    <row r="86" spans="1:10" x14ac:dyDescent="0.25">
      <c r="A86" s="155"/>
      <c r="B86" s="156"/>
      <c r="C86" s="155"/>
      <c r="D86" s="156"/>
      <c r="E86" s="156"/>
      <c r="F86" s="156"/>
      <c r="G86" s="156"/>
      <c r="H86" s="156"/>
      <c r="I86" s="156"/>
      <c r="J86" s="155"/>
    </row>
    <row r="87" spans="1:10" x14ac:dyDescent="0.25">
      <c r="A87" s="155"/>
      <c r="B87" s="156"/>
      <c r="C87" s="155"/>
      <c r="D87" s="156"/>
      <c r="E87" s="156"/>
      <c r="F87" s="156"/>
      <c r="G87" s="156"/>
      <c r="H87" s="156"/>
      <c r="I87" s="156"/>
      <c r="J87" s="155"/>
    </row>
    <row r="88" spans="1:10" x14ac:dyDescent="0.25">
      <c r="A88" s="155"/>
      <c r="B88" s="156"/>
      <c r="C88" s="155"/>
      <c r="D88" s="156"/>
      <c r="E88" s="156"/>
      <c r="F88" s="156"/>
      <c r="G88" s="156"/>
      <c r="H88" s="156"/>
      <c r="I88" s="156"/>
      <c r="J88" s="155"/>
    </row>
    <row r="89" spans="1:10" x14ac:dyDescent="0.25">
      <c r="A89" s="155"/>
      <c r="B89" s="156"/>
      <c r="C89" s="155"/>
      <c r="D89" s="156"/>
      <c r="E89" s="156"/>
      <c r="F89" s="156"/>
      <c r="G89" s="156"/>
      <c r="H89" s="156"/>
      <c r="I89" s="156"/>
      <c r="J89" s="155"/>
    </row>
    <row r="90" spans="1:10" x14ac:dyDescent="0.25">
      <c r="A90" s="155"/>
      <c r="B90" s="156"/>
      <c r="C90" s="155"/>
      <c r="D90" s="156"/>
      <c r="E90" s="156"/>
      <c r="F90" s="156"/>
      <c r="G90" s="156"/>
      <c r="H90" s="156"/>
      <c r="I90" s="156"/>
      <c r="J90" s="155"/>
    </row>
    <row r="91" spans="1:10" x14ac:dyDescent="0.25">
      <c r="A91" s="155"/>
      <c r="B91" s="156"/>
      <c r="C91" s="155"/>
      <c r="D91" s="156"/>
      <c r="E91" s="156"/>
      <c r="F91" s="156"/>
      <c r="G91" s="156"/>
      <c r="H91" s="156"/>
      <c r="I91" s="156"/>
      <c r="J91" s="155"/>
    </row>
    <row r="92" spans="1:10" x14ac:dyDescent="0.25">
      <c r="A92" s="155"/>
      <c r="B92" s="156"/>
      <c r="C92" s="155"/>
      <c r="D92" s="156"/>
      <c r="E92" s="156"/>
      <c r="F92" s="156"/>
      <c r="G92" s="156"/>
      <c r="H92" s="156"/>
      <c r="I92" s="156"/>
      <c r="J92" s="155"/>
    </row>
    <row r="93" spans="1:10" x14ac:dyDescent="0.25">
      <c r="A93" s="155"/>
      <c r="B93" s="156"/>
      <c r="C93" s="155"/>
      <c r="D93" s="156"/>
      <c r="E93" s="156"/>
      <c r="F93" s="156"/>
      <c r="G93" s="156"/>
      <c r="H93" s="156"/>
      <c r="I93" s="156"/>
      <c r="J93" s="155"/>
    </row>
    <row r="94" spans="1:10" x14ac:dyDescent="0.25">
      <c r="A94" s="155"/>
      <c r="B94" s="156"/>
      <c r="C94" s="155"/>
      <c r="D94" s="156"/>
      <c r="E94" s="156"/>
      <c r="F94" s="156"/>
      <c r="G94" s="156"/>
      <c r="H94" s="156"/>
      <c r="I94" s="156"/>
      <c r="J94" s="155"/>
    </row>
    <row r="95" spans="1:10" x14ac:dyDescent="0.25">
      <c r="A95" s="155"/>
      <c r="B95" s="156"/>
      <c r="C95" s="155"/>
      <c r="D95" s="156"/>
      <c r="E95" s="156"/>
      <c r="F95" s="156"/>
      <c r="G95" s="156"/>
      <c r="H95" s="156"/>
      <c r="I95" s="156"/>
      <c r="J95" s="155"/>
    </row>
    <row r="96" spans="1:10" x14ac:dyDescent="0.25">
      <c r="A96" s="155"/>
      <c r="B96" s="156"/>
      <c r="C96" s="155"/>
      <c r="D96" s="156"/>
      <c r="E96" s="156"/>
      <c r="F96" s="156"/>
      <c r="G96" s="156"/>
      <c r="H96" s="156"/>
      <c r="I96" s="156"/>
      <c r="J96" s="155"/>
    </row>
    <row r="97" spans="1:10" x14ac:dyDescent="0.25">
      <c r="A97" s="155"/>
      <c r="B97" s="156"/>
      <c r="C97" s="155"/>
      <c r="D97" s="156"/>
      <c r="E97" s="156"/>
      <c r="F97" s="156"/>
      <c r="G97" s="156"/>
      <c r="H97" s="156"/>
      <c r="I97" s="156"/>
      <c r="J97" s="155"/>
    </row>
    <row r="98" spans="1:10" x14ac:dyDescent="0.25">
      <c r="A98" s="155"/>
      <c r="B98" s="156"/>
      <c r="C98" s="155"/>
      <c r="D98" s="156"/>
      <c r="E98" s="156"/>
      <c r="F98" s="156"/>
      <c r="G98" s="156"/>
      <c r="H98" s="156"/>
      <c r="I98" s="156"/>
      <c r="J98" s="155"/>
    </row>
    <row r="99" spans="1:10" x14ac:dyDescent="0.25">
      <c r="A99" s="155"/>
      <c r="B99" s="156"/>
      <c r="C99" s="155"/>
      <c r="D99" s="156"/>
      <c r="E99" s="156"/>
      <c r="F99" s="156"/>
      <c r="G99" s="156"/>
      <c r="H99" s="156"/>
      <c r="I99" s="156"/>
      <c r="J99" s="155"/>
    </row>
    <row r="100" spans="1:10" x14ac:dyDescent="0.25">
      <c r="A100" s="155"/>
      <c r="B100" s="156"/>
      <c r="C100" s="155"/>
      <c r="D100" s="156"/>
      <c r="E100" s="156"/>
      <c r="F100" s="156"/>
      <c r="G100" s="156"/>
      <c r="H100" s="156"/>
      <c r="I100" s="156"/>
      <c r="J100" s="155"/>
    </row>
    <row r="101" spans="1:10" x14ac:dyDescent="0.25">
      <c r="A101" s="155"/>
      <c r="B101" s="156"/>
      <c r="C101" s="155"/>
      <c r="D101" s="156"/>
      <c r="E101" s="156"/>
      <c r="F101" s="156"/>
      <c r="G101" s="156"/>
      <c r="H101" s="156"/>
      <c r="I101" s="156"/>
      <c r="J101" s="155"/>
    </row>
    <row r="102" spans="1:10" x14ac:dyDescent="0.25">
      <c r="A102" s="155"/>
      <c r="B102" s="156"/>
      <c r="C102" s="155"/>
      <c r="D102" s="156"/>
      <c r="E102" s="156"/>
      <c r="F102" s="156"/>
      <c r="G102" s="156"/>
      <c r="H102" s="156"/>
      <c r="I102" s="156"/>
      <c r="J102" s="155"/>
    </row>
    <row r="103" spans="1:10" x14ac:dyDescent="0.25">
      <c r="A103" s="155"/>
      <c r="B103" s="156"/>
      <c r="C103" s="155"/>
      <c r="D103" s="156"/>
      <c r="E103" s="156"/>
      <c r="F103" s="156"/>
      <c r="G103" s="156"/>
      <c r="H103" s="156"/>
      <c r="I103" s="156"/>
      <c r="J103" s="155"/>
    </row>
    <row r="104" spans="1:10" x14ac:dyDescent="0.25">
      <c r="A104" s="155"/>
      <c r="B104" s="156"/>
      <c r="C104" s="155"/>
      <c r="D104" s="156"/>
      <c r="E104" s="156"/>
      <c r="F104" s="156"/>
      <c r="G104" s="156"/>
      <c r="H104" s="156"/>
      <c r="I104" s="156"/>
      <c r="J104" s="155"/>
    </row>
    <row r="105" spans="1:10" x14ac:dyDescent="0.25">
      <c r="A105" s="155"/>
      <c r="B105" s="156"/>
      <c r="C105" s="155"/>
      <c r="D105" s="156"/>
      <c r="E105" s="156"/>
      <c r="F105" s="156"/>
      <c r="G105" s="156"/>
      <c r="H105" s="156"/>
      <c r="I105" s="156"/>
      <c r="J105" s="155"/>
    </row>
    <row r="106" spans="1:10" x14ac:dyDescent="0.25">
      <c r="A106" s="155"/>
      <c r="B106" s="156"/>
      <c r="C106" s="155"/>
      <c r="D106" s="156"/>
      <c r="E106" s="156"/>
      <c r="F106" s="156"/>
      <c r="G106" s="156"/>
      <c r="H106" s="156"/>
      <c r="I106" s="156"/>
      <c r="J106" s="155"/>
    </row>
    <row r="107" spans="1:10" x14ac:dyDescent="0.25">
      <c r="A107" s="155"/>
      <c r="B107" s="156"/>
      <c r="C107" s="155"/>
      <c r="D107" s="156"/>
      <c r="E107" s="156"/>
      <c r="F107" s="156"/>
      <c r="G107" s="156"/>
      <c r="H107" s="156"/>
      <c r="I107" s="156"/>
      <c r="J107" s="155"/>
    </row>
    <row r="108" spans="1:10" x14ac:dyDescent="0.25">
      <c r="A108" s="155"/>
      <c r="B108" s="156"/>
      <c r="C108" s="155"/>
      <c r="D108" s="156"/>
      <c r="E108" s="156"/>
      <c r="F108" s="156"/>
      <c r="G108" s="156"/>
      <c r="H108" s="156"/>
      <c r="I108" s="156"/>
      <c r="J108" s="155"/>
    </row>
    <row r="109" spans="1:10" x14ac:dyDescent="0.25">
      <c r="A109" s="155"/>
      <c r="B109" s="156"/>
      <c r="C109" s="155"/>
      <c r="D109" s="156"/>
      <c r="E109" s="156"/>
      <c r="F109" s="156"/>
      <c r="G109" s="156"/>
      <c r="H109" s="156"/>
      <c r="I109" s="156"/>
      <c r="J109" s="155"/>
    </row>
    <row r="110" spans="1:10" x14ac:dyDescent="0.25">
      <c r="A110" s="155"/>
      <c r="B110" s="156"/>
      <c r="C110" s="155"/>
      <c r="D110" s="156"/>
      <c r="E110" s="156"/>
      <c r="F110" s="156"/>
      <c r="G110" s="156"/>
      <c r="H110" s="156"/>
      <c r="I110" s="156"/>
      <c r="J110" s="155"/>
    </row>
    <row r="111" spans="1:10" x14ac:dyDescent="0.25">
      <c r="A111" s="155"/>
      <c r="B111" s="156"/>
      <c r="C111" s="155"/>
      <c r="D111" s="156"/>
      <c r="E111" s="156"/>
      <c r="F111" s="156"/>
      <c r="G111" s="156"/>
      <c r="H111" s="156"/>
      <c r="I111" s="156"/>
      <c r="J111" s="155"/>
    </row>
    <row r="112" spans="1:10" x14ac:dyDescent="0.25">
      <c r="A112" s="155"/>
      <c r="B112" s="156"/>
      <c r="C112" s="155"/>
      <c r="D112" s="156"/>
      <c r="E112" s="156"/>
      <c r="F112" s="156"/>
      <c r="G112" s="156"/>
      <c r="H112" s="156"/>
      <c r="I112" s="156"/>
      <c r="J112" s="155"/>
    </row>
    <row r="113" spans="1:10" x14ac:dyDescent="0.25">
      <c r="A113" s="155"/>
      <c r="B113" s="156"/>
      <c r="C113" s="155"/>
      <c r="D113" s="156"/>
      <c r="E113" s="156"/>
      <c r="F113" s="156"/>
      <c r="G113" s="156"/>
      <c r="H113" s="156"/>
      <c r="I113" s="156"/>
      <c r="J113" s="155"/>
    </row>
    <row r="114" spans="1:10" x14ac:dyDescent="0.25">
      <c r="A114" s="155"/>
      <c r="B114" s="156"/>
      <c r="C114" s="155"/>
      <c r="D114" s="156"/>
      <c r="E114" s="156"/>
      <c r="F114" s="156"/>
      <c r="G114" s="156"/>
      <c r="H114" s="156"/>
      <c r="I114" s="156"/>
      <c r="J114" s="155"/>
    </row>
    <row r="115" spans="1:10" x14ac:dyDescent="0.25">
      <c r="A115" s="155"/>
      <c r="B115" s="156"/>
      <c r="C115" s="155"/>
      <c r="D115" s="156"/>
      <c r="E115" s="156"/>
      <c r="F115" s="156"/>
      <c r="G115" s="156"/>
      <c r="H115" s="156"/>
      <c r="I115" s="156"/>
      <c r="J115" s="155"/>
    </row>
    <row r="116" spans="1:10" x14ac:dyDescent="0.25">
      <c r="A116" s="155"/>
      <c r="B116" s="156"/>
      <c r="C116" s="155"/>
      <c r="D116" s="156"/>
      <c r="E116" s="156"/>
      <c r="F116" s="156"/>
      <c r="G116" s="156"/>
      <c r="H116" s="156"/>
      <c r="I116" s="156"/>
      <c r="J116" s="155"/>
    </row>
    <row r="117" spans="1:10" x14ac:dyDescent="0.25">
      <c r="A117" s="155"/>
      <c r="B117" s="156"/>
      <c r="C117" s="155"/>
      <c r="D117" s="156"/>
      <c r="E117" s="156"/>
      <c r="F117" s="156"/>
      <c r="G117" s="156"/>
      <c r="H117" s="156"/>
      <c r="I117" s="156"/>
      <c r="J117" s="155"/>
    </row>
    <row r="118" spans="1:10" x14ac:dyDescent="0.25">
      <c r="A118" s="155"/>
      <c r="B118" s="156"/>
      <c r="C118" s="155"/>
      <c r="D118" s="156"/>
      <c r="E118" s="156"/>
      <c r="F118" s="156"/>
      <c r="G118" s="156"/>
      <c r="H118" s="156"/>
      <c r="I118" s="156"/>
      <c r="J118" s="155"/>
    </row>
    <row r="119" spans="1:10" x14ac:dyDescent="0.25">
      <c r="A119" s="155"/>
      <c r="B119" s="156"/>
      <c r="C119" s="155"/>
      <c r="D119" s="156"/>
      <c r="E119" s="156"/>
      <c r="F119" s="156"/>
      <c r="G119" s="156"/>
      <c r="H119" s="156"/>
      <c r="I119" s="156"/>
      <c r="J119" s="155"/>
    </row>
    <row r="120" spans="1:10" x14ac:dyDescent="0.25">
      <c r="A120" s="155"/>
      <c r="B120" s="156"/>
      <c r="C120" s="155"/>
      <c r="D120" s="156"/>
      <c r="E120" s="156"/>
      <c r="F120" s="156"/>
      <c r="G120" s="156"/>
      <c r="H120" s="156"/>
      <c r="I120" s="156"/>
      <c r="J120" s="155"/>
    </row>
    <row r="121" spans="1:10" x14ac:dyDescent="0.25">
      <c r="A121" s="155"/>
      <c r="B121" s="156"/>
      <c r="C121" s="155"/>
      <c r="D121" s="156"/>
      <c r="E121" s="156"/>
      <c r="F121" s="156"/>
      <c r="G121" s="156"/>
      <c r="H121" s="156"/>
      <c r="I121" s="156"/>
      <c r="J121" s="155"/>
    </row>
    <row r="122" spans="1:10" x14ac:dyDescent="0.25">
      <c r="A122" s="155"/>
      <c r="B122" s="156"/>
      <c r="C122" s="155"/>
      <c r="D122" s="156"/>
      <c r="E122" s="156"/>
      <c r="F122" s="156"/>
      <c r="G122" s="156"/>
      <c r="H122" s="156"/>
      <c r="I122" s="156"/>
      <c r="J122" s="155"/>
    </row>
    <row r="123" spans="1:10" x14ac:dyDescent="0.25">
      <c r="A123" s="155"/>
      <c r="B123" s="156"/>
      <c r="C123" s="155"/>
      <c r="D123" s="156"/>
      <c r="E123" s="156"/>
      <c r="F123" s="156"/>
      <c r="G123" s="156"/>
      <c r="H123" s="156"/>
      <c r="I123" s="156"/>
      <c r="J123" s="155"/>
    </row>
    <row r="124" spans="1:10" x14ac:dyDescent="0.25">
      <c r="A124" s="155"/>
      <c r="B124" s="156"/>
      <c r="C124" s="155"/>
      <c r="D124" s="156"/>
      <c r="E124" s="156"/>
      <c r="F124" s="156"/>
      <c r="G124" s="156"/>
      <c r="H124" s="156"/>
      <c r="I124" s="156"/>
      <c r="J124" s="155"/>
    </row>
    <row r="125" spans="1:10" x14ac:dyDescent="0.25">
      <c r="A125" s="155"/>
      <c r="B125" s="156"/>
      <c r="C125" s="155"/>
      <c r="D125" s="156"/>
      <c r="E125" s="156"/>
      <c r="F125" s="156"/>
      <c r="G125" s="156"/>
      <c r="H125" s="156"/>
      <c r="I125" s="156"/>
      <c r="J125" s="155"/>
    </row>
    <row r="126" spans="1:10" x14ac:dyDescent="0.25">
      <c r="A126" s="155"/>
      <c r="B126" s="156"/>
      <c r="C126" s="155"/>
      <c r="D126" s="156"/>
      <c r="E126" s="156"/>
      <c r="F126" s="156"/>
      <c r="G126" s="156"/>
      <c r="H126" s="156"/>
      <c r="I126" s="156"/>
      <c r="J126" s="155"/>
    </row>
    <row r="127" spans="1:10" x14ac:dyDescent="0.25">
      <c r="A127" s="155"/>
      <c r="B127" s="156"/>
      <c r="C127" s="155"/>
      <c r="D127" s="156"/>
      <c r="E127" s="156"/>
      <c r="F127" s="156"/>
      <c r="G127" s="156"/>
      <c r="H127" s="156"/>
      <c r="I127" s="156"/>
      <c r="J127" s="155"/>
    </row>
    <row r="128" spans="1:10" x14ac:dyDescent="0.25">
      <c r="A128" s="155"/>
      <c r="B128" s="156"/>
      <c r="C128" s="155"/>
      <c r="D128" s="156"/>
      <c r="E128" s="156"/>
      <c r="F128" s="156"/>
      <c r="G128" s="156"/>
      <c r="H128" s="156"/>
      <c r="I128" s="156"/>
      <c r="J128" s="155"/>
    </row>
    <row r="129" spans="1:10" x14ac:dyDescent="0.25">
      <c r="A129" s="155"/>
      <c r="B129" s="156"/>
      <c r="C129" s="155"/>
      <c r="D129" s="156"/>
      <c r="E129" s="156"/>
      <c r="F129" s="156"/>
      <c r="G129" s="156"/>
      <c r="H129" s="156"/>
      <c r="I129" s="156"/>
      <c r="J129" s="155"/>
    </row>
    <row r="130" spans="1:10" x14ac:dyDescent="0.25">
      <c r="A130" s="155"/>
      <c r="B130" s="156"/>
      <c r="C130" s="155"/>
      <c r="D130" s="156"/>
      <c r="E130" s="156"/>
      <c r="F130" s="156"/>
      <c r="G130" s="156"/>
      <c r="H130" s="156"/>
      <c r="I130" s="156"/>
      <c r="J130" s="155"/>
    </row>
    <row r="131" spans="1:10" x14ac:dyDescent="0.25">
      <c r="A131" s="155"/>
      <c r="B131" s="156"/>
      <c r="C131" s="155"/>
      <c r="D131" s="156"/>
      <c r="E131" s="156"/>
      <c r="F131" s="156"/>
      <c r="G131" s="156"/>
      <c r="H131" s="156"/>
      <c r="I131" s="156"/>
      <c r="J131" s="155"/>
    </row>
    <row r="132" spans="1:10" x14ac:dyDescent="0.25">
      <c r="A132" s="155"/>
      <c r="B132" s="156"/>
      <c r="C132" s="155"/>
      <c r="D132" s="156"/>
      <c r="E132" s="156"/>
      <c r="F132" s="156"/>
      <c r="G132" s="156"/>
      <c r="H132" s="156"/>
      <c r="I132" s="156"/>
      <c r="J132" s="155"/>
    </row>
    <row r="133" spans="1:10" x14ac:dyDescent="0.25">
      <c r="A133" s="155"/>
      <c r="B133" s="156"/>
      <c r="C133" s="155"/>
      <c r="D133" s="156"/>
      <c r="E133" s="156"/>
      <c r="F133" s="156"/>
      <c r="G133" s="156"/>
      <c r="H133" s="156"/>
      <c r="I133" s="156"/>
      <c r="J133" s="155"/>
    </row>
    <row r="134" spans="1:10" x14ac:dyDescent="0.25">
      <c r="A134" s="155"/>
      <c r="B134" s="156"/>
      <c r="C134" s="155"/>
      <c r="D134" s="156"/>
      <c r="E134" s="156"/>
      <c r="F134" s="156"/>
      <c r="G134" s="156"/>
      <c r="H134" s="156"/>
      <c r="I134" s="156"/>
      <c r="J134" s="155"/>
    </row>
    <row r="135" spans="1:10" x14ac:dyDescent="0.25">
      <c r="A135" s="155"/>
      <c r="B135" s="156"/>
      <c r="C135" s="155"/>
      <c r="D135" s="156"/>
      <c r="E135" s="156"/>
      <c r="F135" s="156"/>
      <c r="G135" s="156"/>
      <c r="H135" s="156"/>
      <c r="I135" s="156"/>
      <c r="J135" s="155"/>
    </row>
    <row r="136" spans="1:10" x14ac:dyDescent="0.25">
      <c r="A136" s="155"/>
      <c r="B136" s="156"/>
      <c r="C136" s="155"/>
      <c r="D136" s="156"/>
      <c r="E136" s="156"/>
      <c r="F136" s="156"/>
      <c r="G136" s="156"/>
      <c r="H136" s="156"/>
      <c r="I136" s="156"/>
      <c r="J136" s="155"/>
    </row>
    <row r="137" spans="1:10" x14ac:dyDescent="0.25">
      <c r="A137" s="155"/>
      <c r="B137" s="156"/>
      <c r="C137" s="155"/>
      <c r="D137" s="156"/>
      <c r="E137" s="156"/>
      <c r="F137" s="156"/>
      <c r="G137" s="156"/>
      <c r="H137" s="156"/>
      <c r="I137" s="156"/>
      <c r="J137" s="155"/>
    </row>
    <row r="138" spans="1:10" x14ac:dyDescent="0.25">
      <c r="A138" s="155"/>
      <c r="B138" s="156"/>
      <c r="C138" s="155"/>
      <c r="D138" s="156"/>
      <c r="E138" s="156"/>
      <c r="F138" s="156"/>
      <c r="G138" s="156"/>
      <c r="H138" s="156"/>
      <c r="I138" s="156"/>
      <c r="J138" s="155"/>
    </row>
    <row r="139" spans="1:10" x14ac:dyDescent="0.25">
      <c r="A139" s="155"/>
      <c r="B139" s="156"/>
      <c r="C139" s="155"/>
      <c r="D139" s="156"/>
      <c r="E139" s="156"/>
      <c r="F139" s="156"/>
      <c r="G139" s="156"/>
      <c r="H139" s="156"/>
      <c r="I139" s="156"/>
      <c r="J139" s="155"/>
    </row>
    <row r="140" spans="1:10" x14ac:dyDescent="0.25">
      <c r="A140" s="155"/>
      <c r="B140" s="156"/>
      <c r="C140" s="155"/>
      <c r="D140" s="156"/>
      <c r="E140" s="156"/>
      <c r="F140" s="156"/>
      <c r="G140" s="156"/>
      <c r="H140" s="156"/>
      <c r="I140" s="156"/>
      <c r="J140" s="155"/>
    </row>
    <row r="141" spans="1:10" x14ac:dyDescent="0.25">
      <c r="A141" s="155"/>
      <c r="B141" s="156"/>
      <c r="C141" s="155"/>
      <c r="D141" s="156"/>
      <c r="E141" s="156"/>
      <c r="F141" s="156"/>
      <c r="G141" s="156"/>
      <c r="H141" s="156"/>
      <c r="I141" s="156"/>
      <c r="J141" s="155"/>
    </row>
    <row r="142" spans="1:10" x14ac:dyDescent="0.25">
      <c r="A142" s="155"/>
      <c r="B142" s="156"/>
      <c r="C142" s="155"/>
      <c r="D142" s="156"/>
      <c r="E142" s="156"/>
      <c r="F142" s="156"/>
      <c r="G142" s="156"/>
      <c r="H142" s="156"/>
      <c r="I142" s="156"/>
      <c r="J142" s="155"/>
    </row>
    <row r="143" spans="1:10" x14ac:dyDescent="0.25">
      <c r="A143" s="155"/>
      <c r="B143" s="156"/>
      <c r="C143" s="155"/>
      <c r="D143" s="156"/>
      <c r="E143" s="156"/>
      <c r="F143" s="156"/>
      <c r="G143" s="156"/>
      <c r="H143" s="156"/>
      <c r="I143" s="156"/>
      <c r="J143" s="155"/>
    </row>
    <row r="144" spans="1:10" x14ac:dyDescent="0.25">
      <c r="A144" s="155"/>
      <c r="B144" s="156"/>
      <c r="C144" s="155"/>
      <c r="D144" s="156"/>
      <c r="E144" s="156"/>
      <c r="F144" s="156"/>
      <c r="G144" s="156"/>
      <c r="H144" s="156"/>
      <c r="I144" s="156"/>
      <c r="J144" s="155"/>
    </row>
    <row r="145" spans="1:10" x14ac:dyDescent="0.25">
      <c r="A145" s="155"/>
      <c r="B145" s="156"/>
      <c r="C145" s="155"/>
      <c r="D145" s="156"/>
      <c r="E145" s="156"/>
      <c r="F145" s="156"/>
      <c r="G145" s="156"/>
      <c r="H145" s="156"/>
      <c r="I145" s="156"/>
      <c r="J145" s="155"/>
    </row>
    <row r="146" spans="1:10" x14ac:dyDescent="0.25">
      <c r="A146" s="155"/>
      <c r="B146" s="156"/>
      <c r="C146" s="155"/>
      <c r="D146" s="156"/>
      <c r="E146" s="156"/>
      <c r="F146" s="156"/>
      <c r="G146" s="156"/>
      <c r="H146" s="156"/>
      <c r="I146" s="156"/>
      <c r="J146" s="155"/>
    </row>
    <row r="147" spans="1:10" x14ac:dyDescent="0.25">
      <c r="A147" s="155"/>
      <c r="B147" s="156"/>
      <c r="C147" s="155"/>
      <c r="D147" s="156"/>
      <c r="E147" s="156"/>
      <c r="F147" s="156"/>
      <c r="G147" s="156"/>
      <c r="H147" s="156"/>
      <c r="I147" s="156"/>
      <c r="J147" s="155"/>
    </row>
    <row r="148" spans="1:10" x14ac:dyDescent="0.25">
      <c r="A148" s="155"/>
      <c r="B148" s="156"/>
      <c r="C148" s="155"/>
      <c r="D148" s="156"/>
      <c r="E148" s="156"/>
      <c r="F148" s="156"/>
      <c r="G148" s="156"/>
      <c r="H148" s="156"/>
      <c r="I148" s="156"/>
      <c r="J148" s="155"/>
    </row>
    <row r="149" spans="1:10" x14ac:dyDescent="0.25">
      <c r="A149" s="155"/>
      <c r="B149" s="156"/>
      <c r="C149" s="155"/>
      <c r="D149" s="156"/>
      <c r="E149" s="156"/>
      <c r="F149" s="156"/>
      <c r="G149" s="156"/>
      <c r="H149" s="156"/>
      <c r="I149" s="156"/>
      <c r="J149" s="155"/>
    </row>
    <row r="150" spans="1:10" x14ac:dyDescent="0.25">
      <c r="A150" s="155"/>
      <c r="B150" s="156"/>
      <c r="C150" s="155"/>
      <c r="D150" s="156"/>
      <c r="E150" s="156"/>
      <c r="F150" s="156"/>
      <c r="G150" s="156"/>
      <c r="H150" s="156"/>
      <c r="I150" s="156"/>
      <c r="J150" s="155"/>
    </row>
    <row r="151" spans="1:10" x14ac:dyDescent="0.25">
      <c r="A151" s="155"/>
      <c r="B151" s="156"/>
      <c r="C151" s="155"/>
      <c r="D151" s="156"/>
      <c r="E151" s="156"/>
      <c r="F151" s="156"/>
      <c r="G151" s="156"/>
      <c r="H151" s="156"/>
      <c r="I151" s="156"/>
      <c r="J151" s="155"/>
    </row>
    <row r="152" spans="1:10" x14ac:dyDescent="0.25">
      <c r="A152" s="155"/>
      <c r="B152" s="156"/>
      <c r="C152" s="155"/>
      <c r="D152" s="156"/>
      <c r="E152" s="156"/>
      <c r="F152" s="156"/>
      <c r="G152" s="156"/>
      <c r="H152" s="156"/>
      <c r="I152" s="156"/>
      <c r="J152" s="155"/>
    </row>
    <row r="153" spans="1:10" x14ac:dyDescent="0.25">
      <c r="A153" s="155"/>
      <c r="B153" s="156"/>
      <c r="C153" s="155"/>
      <c r="D153" s="156"/>
      <c r="E153" s="156"/>
      <c r="F153" s="156"/>
      <c r="G153" s="156"/>
      <c r="H153" s="156"/>
      <c r="I153" s="156"/>
      <c r="J153" s="155"/>
    </row>
    <row r="154" spans="1:10" x14ac:dyDescent="0.25">
      <c r="A154" s="155"/>
      <c r="B154" s="156"/>
      <c r="C154" s="155"/>
      <c r="D154" s="156"/>
      <c r="E154" s="156"/>
      <c r="F154" s="156"/>
      <c r="G154" s="156"/>
      <c r="H154" s="156"/>
      <c r="I154" s="156"/>
      <c r="J154" s="155"/>
    </row>
    <row r="155" spans="1:10" x14ac:dyDescent="0.25">
      <c r="A155" s="155"/>
      <c r="B155" s="156"/>
      <c r="C155" s="155"/>
      <c r="D155" s="156"/>
      <c r="E155" s="156"/>
      <c r="F155" s="156"/>
      <c r="G155" s="156"/>
      <c r="H155" s="156"/>
      <c r="I155" s="156"/>
      <c r="J155" s="155"/>
    </row>
    <row r="156" spans="1:10" x14ac:dyDescent="0.25">
      <c r="A156" s="155"/>
      <c r="B156" s="156"/>
      <c r="C156" s="155"/>
      <c r="D156" s="156"/>
      <c r="E156" s="156"/>
      <c r="F156" s="156"/>
      <c r="G156" s="156"/>
      <c r="H156" s="156"/>
      <c r="I156" s="156"/>
      <c r="J156" s="155"/>
    </row>
    <row r="157" spans="1:10" x14ac:dyDescent="0.25">
      <c r="A157" s="155"/>
      <c r="B157" s="156"/>
      <c r="C157" s="155"/>
      <c r="D157" s="156"/>
      <c r="E157" s="156"/>
      <c r="F157" s="156"/>
      <c r="G157" s="156"/>
      <c r="H157" s="156"/>
      <c r="I157" s="156"/>
      <c r="J157" s="155"/>
    </row>
    <row r="158" spans="1:10" x14ac:dyDescent="0.25">
      <c r="A158" s="155"/>
      <c r="B158" s="156"/>
      <c r="C158" s="155"/>
      <c r="D158" s="156"/>
      <c r="E158" s="156"/>
      <c r="F158" s="156"/>
      <c r="G158" s="156"/>
      <c r="H158" s="156"/>
      <c r="I158" s="156"/>
      <c r="J158" s="155"/>
    </row>
    <row r="159" spans="1:10" x14ac:dyDescent="0.25">
      <c r="A159" s="155"/>
      <c r="B159" s="156"/>
      <c r="C159" s="155"/>
      <c r="D159" s="156"/>
      <c r="E159" s="156"/>
      <c r="F159" s="156"/>
      <c r="G159" s="156"/>
      <c r="H159" s="156"/>
      <c r="I159" s="156"/>
      <c r="J159" s="155"/>
    </row>
    <row r="160" spans="1:10" x14ac:dyDescent="0.25">
      <c r="A160" s="155"/>
      <c r="B160" s="156"/>
      <c r="C160" s="155"/>
      <c r="D160" s="156"/>
      <c r="E160" s="156"/>
      <c r="F160" s="156"/>
      <c r="G160" s="156"/>
      <c r="H160" s="156"/>
      <c r="I160" s="156"/>
      <c r="J160" s="155"/>
    </row>
    <row r="161" spans="1:10" x14ac:dyDescent="0.25">
      <c r="A161" s="155"/>
      <c r="B161" s="156"/>
      <c r="C161" s="155"/>
      <c r="D161" s="156"/>
      <c r="E161" s="156"/>
      <c r="F161" s="156"/>
      <c r="G161" s="156"/>
      <c r="H161" s="156"/>
      <c r="I161" s="156"/>
      <c r="J161" s="155"/>
    </row>
    <row r="162" spans="1:10" x14ac:dyDescent="0.25">
      <c r="A162" s="155"/>
      <c r="B162" s="156"/>
      <c r="C162" s="155"/>
      <c r="D162" s="156"/>
      <c r="E162" s="156"/>
      <c r="F162" s="156"/>
      <c r="G162" s="156"/>
      <c r="H162" s="156"/>
      <c r="I162" s="156"/>
      <c r="J162" s="155"/>
    </row>
    <row r="163" spans="1:10" x14ac:dyDescent="0.25">
      <c r="A163" s="155"/>
      <c r="B163" s="156"/>
      <c r="C163" s="155"/>
      <c r="D163" s="156"/>
      <c r="E163" s="156"/>
      <c r="F163" s="156"/>
      <c r="G163" s="156"/>
      <c r="H163" s="156"/>
      <c r="I163" s="156"/>
      <c r="J163" s="155"/>
    </row>
    <row r="164" spans="1:10" x14ac:dyDescent="0.25">
      <c r="A164" s="155"/>
      <c r="B164" s="156"/>
      <c r="C164" s="155"/>
      <c r="D164" s="156"/>
      <c r="E164" s="156"/>
      <c r="F164" s="156"/>
      <c r="G164" s="156"/>
      <c r="H164" s="156"/>
      <c r="I164" s="156"/>
      <c r="J164" s="155"/>
    </row>
    <row r="165" spans="1:10" x14ac:dyDescent="0.25">
      <c r="A165" s="155"/>
      <c r="B165" s="156"/>
      <c r="C165" s="155"/>
      <c r="D165" s="156"/>
      <c r="E165" s="156"/>
      <c r="F165" s="156"/>
      <c r="G165" s="156"/>
      <c r="H165" s="156"/>
      <c r="I165" s="156"/>
      <c r="J165" s="155"/>
    </row>
    <row r="166" spans="1:10" x14ac:dyDescent="0.25">
      <c r="A166" s="155"/>
      <c r="B166" s="156"/>
      <c r="C166" s="155"/>
      <c r="D166" s="156"/>
      <c r="E166" s="156"/>
      <c r="F166" s="156"/>
      <c r="G166" s="156"/>
      <c r="H166" s="156"/>
      <c r="I166" s="156"/>
      <c r="J166" s="155"/>
    </row>
    <row r="167" spans="1:10" x14ac:dyDescent="0.25">
      <c r="A167" s="155"/>
      <c r="B167" s="156"/>
      <c r="C167" s="155"/>
      <c r="D167" s="156"/>
      <c r="E167" s="156"/>
      <c r="F167" s="156"/>
      <c r="G167" s="156"/>
      <c r="H167" s="156"/>
      <c r="I167" s="156"/>
      <c r="J167" s="155"/>
    </row>
    <row r="168" spans="1:10" x14ac:dyDescent="0.25">
      <c r="A168" s="155"/>
      <c r="B168" s="156"/>
      <c r="C168" s="155"/>
      <c r="D168" s="156"/>
      <c r="E168" s="156"/>
      <c r="F168" s="156"/>
      <c r="G168" s="156"/>
      <c r="H168" s="156"/>
      <c r="I168" s="156"/>
      <c r="J168" s="155"/>
    </row>
    <row r="169" spans="1:10" x14ac:dyDescent="0.25">
      <c r="A169" s="155"/>
      <c r="B169" s="156"/>
      <c r="C169" s="155"/>
      <c r="D169" s="156"/>
      <c r="E169" s="156"/>
      <c r="F169" s="156"/>
      <c r="G169" s="156"/>
      <c r="H169" s="156"/>
      <c r="I169" s="156"/>
      <c r="J169" s="155"/>
    </row>
    <row r="170" spans="1:10" x14ac:dyDescent="0.25">
      <c r="A170" s="155"/>
      <c r="B170" s="156"/>
      <c r="C170" s="155"/>
      <c r="D170" s="156"/>
      <c r="E170" s="156"/>
      <c r="F170" s="156"/>
      <c r="G170" s="156"/>
      <c r="H170" s="156"/>
      <c r="I170" s="156"/>
      <c r="J170" s="155"/>
    </row>
    <row r="171" spans="1:10" x14ac:dyDescent="0.25">
      <c r="A171" s="155"/>
      <c r="B171" s="156"/>
      <c r="C171" s="155"/>
      <c r="D171" s="156"/>
      <c r="E171" s="156"/>
      <c r="F171" s="156"/>
      <c r="G171" s="156"/>
      <c r="H171" s="156"/>
      <c r="I171" s="156"/>
      <c r="J171" s="155"/>
    </row>
    <row r="172" spans="1:10" x14ac:dyDescent="0.25">
      <c r="A172" s="155"/>
      <c r="B172" s="156"/>
      <c r="C172" s="155"/>
      <c r="D172" s="156"/>
      <c r="E172" s="156"/>
      <c r="F172" s="156"/>
      <c r="G172" s="156"/>
      <c r="H172" s="156"/>
      <c r="I172" s="156"/>
      <c r="J172" s="155"/>
    </row>
    <row r="173" spans="1:10" x14ac:dyDescent="0.25">
      <c r="A173" s="155"/>
      <c r="B173" s="156"/>
      <c r="C173" s="155"/>
      <c r="D173" s="156"/>
      <c r="E173" s="156"/>
      <c r="F173" s="156"/>
      <c r="G173" s="156"/>
      <c r="H173" s="156"/>
      <c r="I173" s="156"/>
      <c r="J173" s="155"/>
    </row>
    <row r="174" spans="1:10" x14ac:dyDescent="0.25">
      <c r="A174" s="155"/>
      <c r="B174" s="156"/>
      <c r="C174" s="155"/>
      <c r="D174" s="156"/>
      <c r="E174" s="156"/>
      <c r="F174" s="156"/>
      <c r="G174" s="156"/>
      <c r="H174" s="156"/>
      <c r="I174" s="156"/>
      <c r="J174" s="155"/>
    </row>
    <row r="175" spans="1:10" x14ac:dyDescent="0.25">
      <c r="A175" s="155"/>
      <c r="B175" s="156"/>
      <c r="C175" s="155"/>
      <c r="D175" s="156"/>
      <c r="E175" s="156"/>
      <c r="F175" s="156"/>
      <c r="G175" s="156"/>
      <c r="H175" s="156"/>
      <c r="I175" s="156"/>
      <c r="J175" s="155"/>
    </row>
    <row r="176" spans="1:10" x14ac:dyDescent="0.25">
      <c r="A176" s="155"/>
      <c r="B176" s="156"/>
      <c r="C176" s="155"/>
      <c r="D176" s="156"/>
      <c r="E176" s="156"/>
      <c r="F176" s="156"/>
      <c r="G176" s="156"/>
      <c r="H176" s="156"/>
      <c r="I176" s="156"/>
      <c r="J176" s="155"/>
    </row>
    <row r="177" spans="1:10" x14ac:dyDescent="0.25">
      <c r="A177" s="155"/>
      <c r="B177" s="156"/>
      <c r="C177" s="155"/>
      <c r="D177" s="156"/>
      <c r="E177" s="156"/>
      <c r="F177" s="156"/>
      <c r="G177" s="156"/>
      <c r="H177" s="156"/>
      <c r="I177" s="156"/>
      <c r="J177" s="155"/>
    </row>
    <row r="178" spans="1:10" x14ac:dyDescent="0.25">
      <c r="A178" s="155"/>
      <c r="B178" s="156"/>
      <c r="C178" s="155"/>
      <c r="D178" s="156"/>
      <c r="E178" s="156"/>
      <c r="F178" s="156"/>
      <c r="G178" s="156"/>
      <c r="H178" s="156"/>
      <c r="I178" s="156"/>
      <c r="J178" s="155"/>
    </row>
    <row r="179" spans="1:10" x14ac:dyDescent="0.25">
      <c r="A179" s="155"/>
      <c r="B179" s="156"/>
      <c r="C179" s="155"/>
      <c r="D179" s="156"/>
      <c r="E179" s="156"/>
      <c r="F179" s="156"/>
      <c r="G179" s="156"/>
      <c r="H179" s="156"/>
      <c r="I179" s="156"/>
      <c r="J179" s="155"/>
    </row>
    <row r="180" spans="1:10" x14ac:dyDescent="0.25">
      <c r="A180" s="155"/>
      <c r="B180" s="156"/>
      <c r="C180" s="155"/>
      <c r="D180" s="156"/>
      <c r="E180" s="156"/>
      <c r="F180" s="156"/>
      <c r="G180" s="156"/>
      <c r="H180" s="156"/>
      <c r="I180" s="156"/>
      <c r="J180" s="155"/>
    </row>
    <row r="181" spans="1:10" x14ac:dyDescent="0.25">
      <c r="A181" s="155"/>
      <c r="B181" s="156"/>
      <c r="C181" s="155"/>
      <c r="D181" s="156"/>
      <c r="E181" s="156"/>
      <c r="F181" s="156"/>
      <c r="G181" s="156"/>
      <c r="H181" s="156"/>
      <c r="I181" s="156"/>
      <c r="J181" s="155"/>
    </row>
    <row r="182" spans="1:10" x14ac:dyDescent="0.25">
      <c r="A182" s="155"/>
      <c r="B182" s="156"/>
      <c r="C182" s="155"/>
      <c r="D182" s="156"/>
      <c r="E182" s="156"/>
      <c r="F182" s="156"/>
      <c r="G182" s="156"/>
      <c r="H182" s="156"/>
      <c r="I182" s="156"/>
      <c r="J182" s="155"/>
    </row>
    <row r="183" spans="1:10" x14ac:dyDescent="0.25">
      <c r="A183" s="155"/>
      <c r="B183" s="156"/>
      <c r="C183" s="155"/>
      <c r="D183" s="156"/>
      <c r="E183" s="156"/>
      <c r="F183" s="156"/>
      <c r="G183" s="156"/>
      <c r="H183" s="156"/>
      <c r="I183" s="156"/>
      <c r="J183" s="155"/>
    </row>
    <row r="184" spans="1:10" x14ac:dyDescent="0.25">
      <c r="A184" s="155"/>
      <c r="B184" s="156"/>
      <c r="C184" s="155"/>
      <c r="D184" s="156"/>
      <c r="E184" s="156"/>
      <c r="F184" s="156"/>
      <c r="G184" s="156"/>
      <c r="H184" s="156"/>
      <c r="I184" s="156"/>
      <c r="J184" s="155"/>
    </row>
    <row r="185" spans="1:10" x14ac:dyDescent="0.25">
      <c r="A185" s="155"/>
      <c r="B185" s="156"/>
      <c r="C185" s="155"/>
      <c r="D185" s="156"/>
      <c r="E185" s="156"/>
      <c r="F185" s="156"/>
      <c r="G185" s="156"/>
      <c r="H185" s="156"/>
      <c r="I185" s="156"/>
      <c r="J185" s="155"/>
    </row>
    <row r="186" spans="1:10" x14ac:dyDescent="0.25">
      <c r="A186" s="155"/>
      <c r="B186" s="156"/>
      <c r="C186" s="155"/>
      <c r="D186" s="156"/>
      <c r="E186" s="156"/>
      <c r="F186" s="156"/>
      <c r="G186" s="156"/>
      <c r="H186" s="156"/>
      <c r="I186" s="156"/>
      <c r="J186" s="155"/>
    </row>
    <row r="187" spans="1:10" x14ac:dyDescent="0.25">
      <c r="A187" s="155"/>
      <c r="B187" s="156"/>
      <c r="C187" s="155"/>
      <c r="D187" s="156"/>
      <c r="E187" s="156"/>
      <c r="F187" s="156"/>
      <c r="G187" s="156"/>
      <c r="H187" s="156"/>
      <c r="I187" s="156"/>
      <c r="J187" s="155"/>
    </row>
    <row r="188" spans="1:10" x14ac:dyDescent="0.25">
      <c r="A188" s="155"/>
      <c r="B188" s="156"/>
      <c r="C188" s="155"/>
      <c r="D188" s="156"/>
      <c r="E188" s="156"/>
      <c r="F188" s="156"/>
      <c r="G188" s="156"/>
      <c r="H188" s="156"/>
      <c r="I188" s="156"/>
      <c r="J188" s="155"/>
    </row>
    <row r="189" spans="1:10" x14ac:dyDescent="0.25">
      <c r="A189" s="155"/>
      <c r="B189" s="156"/>
      <c r="C189" s="155"/>
      <c r="D189" s="156"/>
      <c r="E189" s="156"/>
      <c r="F189" s="156"/>
      <c r="G189" s="156"/>
      <c r="H189" s="156"/>
      <c r="I189" s="156"/>
      <c r="J189" s="155"/>
    </row>
    <row r="190" spans="1:10" x14ac:dyDescent="0.25">
      <c r="A190" s="155"/>
      <c r="B190" s="156"/>
      <c r="C190" s="155"/>
      <c r="D190" s="156"/>
      <c r="E190" s="156"/>
      <c r="F190" s="156"/>
      <c r="G190" s="156"/>
      <c r="H190" s="156"/>
      <c r="I190" s="156"/>
      <c r="J190" s="155"/>
    </row>
    <row r="191" spans="1:10" x14ac:dyDescent="0.25">
      <c r="A191" s="155"/>
      <c r="B191" s="156"/>
      <c r="C191" s="155"/>
      <c r="D191" s="156"/>
      <c r="E191" s="156"/>
      <c r="F191" s="156"/>
      <c r="G191" s="156"/>
      <c r="H191" s="156"/>
      <c r="I191" s="156"/>
      <c r="J191" s="155"/>
    </row>
    <row r="192" spans="1:10" x14ac:dyDescent="0.25">
      <c r="A192" s="155"/>
      <c r="B192" s="156"/>
      <c r="C192" s="155"/>
      <c r="D192" s="156"/>
      <c r="E192" s="156"/>
      <c r="F192" s="156"/>
      <c r="G192" s="156"/>
      <c r="H192" s="156"/>
      <c r="I192" s="156"/>
      <c r="J192" s="155"/>
    </row>
    <row r="193" spans="1:10" x14ac:dyDescent="0.25">
      <c r="A193" s="155"/>
      <c r="B193" s="156"/>
      <c r="C193" s="155"/>
      <c r="D193" s="156"/>
      <c r="E193" s="156"/>
      <c r="F193" s="156"/>
      <c r="G193" s="156"/>
      <c r="H193" s="156"/>
      <c r="I193" s="156"/>
      <c r="J193" s="155"/>
    </row>
    <row r="194" spans="1:10" x14ac:dyDescent="0.25">
      <c r="A194" s="155"/>
      <c r="B194" s="156"/>
      <c r="C194" s="155"/>
      <c r="D194" s="156"/>
      <c r="E194" s="156"/>
      <c r="F194" s="156"/>
      <c r="G194" s="156"/>
      <c r="H194" s="156"/>
      <c r="I194" s="156"/>
      <c r="J194" s="155"/>
    </row>
    <row r="195" spans="1:10" x14ac:dyDescent="0.25">
      <c r="A195" s="155"/>
      <c r="B195" s="156"/>
      <c r="C195" s="155"/>
      <c r="D195" s="156"/>
      <c r="E195" s="156"/>
      <c r="F195" s="156"/>
      <c r="G195" s="156"/>
      <c r="H195" s="156"/>
      <c r="I195" s="156"/>
      <c r="J195" s="155"/>
    </row>
    <row r="196" spans="1:10" x14ac:dyDescent="0.25">
      <c r="A196" s="155"/>
      <c r="B196" s="156"/>
      <c r="C196" s="155"/>
      <c r="D196" s="156"/>
      <c r="E196" s="156"/>
      <c r="F196" s="156"/>
      <c r="G196" s="156"/>
      <c r="H196" s="156"/>
      <c r="I196" s="156"/>
      <c r="J196" s="155"/>
    </row>
    <row r="197" spans="1:10" x14ac:dyDescent="0.25">
      <c r="A197" s="155"/>
      <c r="B197" s="156"/>
      <c r="C197" s="155"/>
      <c r="D197" s="156"/>
      <c r="E197" s="156"/>
      <c r="F197" s="156"/>
      <c r="G197" s="156"/>
      <c r="H197" s="156"/>
      <c r="I197" s="156"/>
      <c r="J197" s="155"/>
    </row>
    <row r="198" spans="1:10" x14ac:dyDescent="0.25">
      <c r="A198" s="155"/>
      <c r="B198" s="156"/>
      <c r="C198" s="155"/>
      <c r="D198" s="156"/>
      <c r="E198" s="156"/>
      <c r="F198" s="156"/>
      <c r="G198" s="156"/>
      <c r="H198" s="156"/>
      <c r="I198" s="156"/>
      <c r="J198" s="155"/>
    </row>
    <row r="199" spans="1:10" x14ac:dyDescent="0.25">
      <c r="A199" s="155"/>
      <c r="B199" s="156"/>
      <c r="C199" s="155"/>
      <c r="D199" s="156"/>
      <c r="E199" s="156"/>
      <c r="F199" s="156"/>
      <c r="G199" s="156"/>
      <c r="H199" s="156"/>
      <c r="I199" s="156"/>
      <c r="J199" s="155"/>
    </row>
    <row r="200" spans="1:10" x14ac:dyDescent="0.25">
      <c r="A200" s="155"/>
      <c r="B200" s="156"/>
      <c r="C200" s="155"/>
      <c r="D200" s="156"/>
      <c r="E200" s="156"/>
      <c r="F200" s="156"/>
      <c r="G200" s="156"/>
      <c r="H200" s="156"/>
      <c r="I200" s="156"/>
      <c r="J200" s="155"/>
    </row>
    <row r="201" spans="1:10" x14ac:dyDescent="0.25">
      <c r="A201" s="155"/>
      <c r="B201" s="156"/>
      <c r="C201" s="155"/>
      <c r="D201" s="156"/>
      <c r="E201" s="156"/>
      <c r="F201" s="156"/>
      <c r="G201" s="156"/>
      <c r="H201" s="156"/>
      <c r="I201" s="156"/>
      <c r="J201" s="155"/>
    </row>
    <row r="202" spans="1:10" x14ac:dyDescent="0.25">
      <c r="A202" s="155"/>
      <c r="B202" s="156"/>
      <c r="C202" s="155"/>
      <c r="D202" s="156"/>
      <c r="E202" s="156"/>
      <c r="F202" s="156"/>
      <c r="G202" s="156"/>
      <c r="H202" s="156"/>
      <c r="I202" s="156"/>
      <c r="J202" s="155"/>
    </row>
    <row r="203" spans="1:10" x14ac:dyDescent="0.25">
      <c r="A203" s="155"/>
      <c r="B203" s="156"/>
      <c r="C203" s="155"/>
      <c r="D203" s="156"/>
      <c r="E203" s="156"/>
      <c r="F203" s="156"/>
      <c r="G203" s="156"/>
      <c r="H203" s="156"/>
      <c r="I203" s="156"/>
      <c r="J203" s="155"/>
    </row>
    <row r="204" spans="1:10" x14ac:dyDescent="0.25">
      <c r="A204" s="155"/>
      <c r="B204" s="156"/>
      <c r="C204" s="155"/>
      <c r="D204" s="156"/>
      <c r="E204" s="156"/>
      <c r="F204" s="156"/>
      <c r="G204" s="156"/>
      <c r="H204" s="156"/>
      <c r="I204" s="156"/>
      <c r="J204" s="155"/>
    </row>
    <row r="205" spans="1:10" x14ac:dyDescent="0.25">
      <c r="A205" s="155"/>
      <c r="B205" s="156"/>
      <c r="C205" s="155"/>
      <c r="D205" s="156"/>
      <c r="E205" s="156"/>
      <c r="F205" s="156"/>
      <c r="G205" s="156"/>
      <c r="H205" s="156"/>
      <c r="I205" s="156"/>
      <c r="J205" s="155"/>
    </row>
    <row r="206" spans="1:10" x14ac:dyDescent="0.25">
      <c r="A206" s="155"/>
      <c r="B206" s="156"/>
      <c r="C206" s="155"/>
      <c r="D206" s="156"/>
      <c r="E206" s="156"/>
      <c r="F206" s="156"/>
      <c r="G206" s="156"/>
      <c r="H206" s="156"/>
      <c r="I206" s="156"/>
      <c r="J206" s="155"/>
    </row>
    <row r="207" spans="1:10" x14ac:dyDescent="0.25">
      <c r="A207" s="155"/>
      <c r="B207" s="156"/>
      <c r="C207" s="155"/>
      <c r="D207" s="156"/>
      <c r="E207" s="156"/>
    </row>
    <row r="208" spans="1:10" x14ac:dyDescent="0.25">
      <c r="A208" s="155"/>
      <c r="B208" s="156"/>
      <c r="C208" s="155"/>
      <c r="D208" s="156"/>
      <c r="E208" s="156"/>
      <c r="F208" s="159"/>
      <c r="G208" s="159"/>
      <c r="H208" s="159"/>
      <c r="I208" s="160"/>
      <c r="J208" s="159"/>
    </row>
  </sheetData>
  <mergeCells count="23">
    <mergeCell ref="A56:B56"/>
    <mergeCell ref="A60:B60"/>
    <mergeCell ref="A53:B53"/>
    <mergeCell ref="A55:B55"/>
    <mergeCell ref="A59:B59"/>
    <mergeCell ref="A54:B54"/>
    <mergeCell ref="A58:B58"/>
    <mergeCell ref="A1:C1"/>
    <mergeCell ref="D1:J1"/>
    <mergeCell ref="A2:C2"/>
    <mergeCell ref="D2:J2"/>
    <mergeCell ref="D3:H3"/>
    <mergeCell ref="I3:J3"/>
    <mergeCell ref="A52:B52"/>
    <mergeCell ref="A51:B51"/>
    <mergeCell ref="A50:J50"/>
    <mergeCell ref="D4:H4"/>
    <mergeCell ref="I4:J4"/>
    <mergeCell ref="A5:B7"/>
    <mergeCell ref="D5:F5"/>
    <mergeCell ref="I5:J7"/>
    <mergeCell ref="D6:F6"/>
    <mergeCell ref="D7:F7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E152"/>
  <sheetViews>
    <sheetView tabSelected="1" zoomScale="39" zoomScaleNormal="39" workbookViewId="0">
      <selection activeCell="A5" sqref="A5:H11"/>
    </sheetView>
  </sheetViews>
  <sheetFormatPr defaultColWidth="9.109375" defaultRowHeight="17.399999999999999" x14ac:dyDescent="0.3"/>
  <cols>
    <col min="1" max="1" width="12.6640625" style="114" customWidth="1"/>
    <col min="2" max="2" width="12.6640625" style="115" customWidth="1"/>
    <col min="3" max="3" width="86.109375" style="116" customWidth="1"/>
    <col min="4" max="4" width="11.88671875" style="115" customWidth="1"/>
    <col min="5" max="5" width="16.44140625" style="115" customWidth="1"/>
    <col min="6" max="6" width="14.44140625" style="115" customWidth="1"/>
    <col min="7" max="7" width="12.6640625" style="115" customWidth="1"/>
    <col min="8" max="8" width="85.6640625" style="183" customWidth="1"/>
    <col min="9" max="9" width="9.109375" style="211"/>
    <col min="10" max="10" width="12.6640625" style="114" customWidth="1"/>
    <col min="11" max="11" width="12.6640625" style="115" customWidth="1"/>
    <col min="12" max="12" width="86.109375" style="116" customWidth="1"/>
    <col min="13" max="13" width="11.88671875" style="115" customWidth="1"/>
    <col min="14" max="14" width="16.44140625" style="115" customWidth="1"/>
    <col min="15" max="15" width="13.6640625" style="115" customWidth="1"/>
    <col min="16" max="16" width="12.6640625" style="115" customWidth="1"/>
    <col min="17" max="17" width="85.6640625" style="183" customWidth="1"/>
    <col min="18" max="18" width="9.109375" style="211"/>
    <col min="19" max="19" width="12.6640625" style="114" customWidth="1"/>
    <col min="20" max="20" width="12.6640625" style="115" customWidth="1"/>
    <col min="21" max="21" width="86.109375" style="116" customWidth="1"/>
    <col min="22" max="22" width="11.88671875" style="115" customWidth="1"/>
    <col min="23" max="23" width="16.44140625" style="115" customWidth="1"/>
    <col min="24" max="24" width="14.44140625" style="115" customWidth="1"/>
    <col min="25" max="25" width="12.6640625" style="115" customWidth="1"/>
    <col min="26" max="26" width="85.6640625" style="117" customWidth="1"/>
    <col min="27" max="256" width="9.109375" style="115"/>
    <col min="257" max="258" width="12.6640625" style="115" customWidth="1"/>
    <col min="259" max="259" width="86.109375" style="115" customWidth="1"/>
    <col min="260" max="260" width="11.88671875" style="115" customWidth="1"/>
    <col min="261" max="261" width="16.44140625" style="115" customWidth="1"/>
    <col min="262" max="262" width="14.44140625" style="115" customWidth="1"/>
    <col min="263" max="263" width="12.6640625" style="115" customWidth="1"/>
    <col min="264" max="264" width="85.6640625" style="115" customWidth="1"/>
    <col min="265" max="512" width="9.109375" style="115"/>
    <col min="513" max="514" width="12.6640625" style="115" customWidth="1"/>
    <col min="515" max="515" width="86.109375" style="115" customWidth="1"/>
    <col min="516" max="516" width="11.88671875" style="115" customWidth="1"/>
    <col min="517" max="517" width="16.44140625" style="115" customWidth="1"/>
    <col min="518" max="518" width="14.44140625" style="115" customWidth="1"/>
    <col min="519" max="519" width="12.6640625" style="115" customWidth="1"/>
    <col min="520" max="520" width="85.6640625" style="115" customWidth="1"/>
    <col min="521" max="768" width="9.109375" style="115"/>
    <col min="769" max="770" width="12.6640625" style="115" customWidth="1"/>
    <col min="771" max="771" width="86.109375" style="115" customWidth="1"/>
    <col min="772" max="772" width="11.88671875" style="115" customWidth="1"/>
    <col min="773" max="773" width="16.44140625" style="115" customWidth="1"/>
    <col min="774" max="774" width="14.44140625" style="115" customWidth="1"/>
    <col min="775" max="775" width="12.6640625" style="115" customWidth="1"/>
    <col min="776" max="776" width="85.6640625" style="115" customWidth="1"/>
    <col min="777" max="1024" width="9.109375" style="115"/>
    <col min="1025" max="1026" width="12.6640625" style="115" customWidth="1"/>
    <col min="1027" max="1027" width="86.109375" style="115" customWidth="1"/>
    <col min="1028" max="1028" width="11.88671875" style="115" customWidth="1"/>
    <col min="1029" max="1029" width="16.44140625" style="115" customWidth="1"/>
    <col min="1030" max="1030" width="14.44140625" style="115" customWidth="1"/>
    <col min="1031" max="1031" width="12.6640625" style="115" customWidth="1"/>
    <col min="1032" max="1032" width="85.6640625" style="115" customWidth="1"/>
    <col min="1033" max="1280" width="9.109375" style="115"/>
    <col min="1281" max="1282" width="12.6640625" style="115" customWidth="1"/>
    <col min="1283" max="1283" width="86.109375" style="115" customWidth="1"/>
    <col min="1284" max="1284" width="11.88671875" style="115" customWidth="1"/>
    <col min="1285" max="1285" width="16.44140625" style="115" customWidth="1"/>
    <col min="1286" max="1286" width="14.44140625" style="115" customWidth="1"/>
    <col min="1287" max="1287" width="12.6640625" style="115" customWidth="1"/>
    <col min="1288" max="1288" width="85.6640625" style="115" customWidth="1"/>
    <col min="1289" max="1536" width="9.109375" style="115"/>
    <col min="1537" max="1538" width="12.6640625" style="115" customWidth="1"/>
    <col min="1539" max="1539" width="86.109375" style="115" customWidth="1"/>
    <col min="1540" max="1540" width="11.88671875" style="115" customWidth="1"/>
    <col min="1541" max="1541" width="16.44140625" style="115" customWidth="1"/>
    <col min="1542" max="1542" width="14.44140625" style="115" customWidth="1"/>
    <col min="1543" max="1543" width="12.6640625" style="115" customWidth="1"/>
    <col min="1544" max="1544" width="85.6640625" style="115" customWidth="1"/>
    <col min="1545" max="1792" width="9.109375" style="115"/>
    <col min="1793" max="1794" width="12.6640625" style="115" customWidth="1"/>
    <col min="1795" max="1795" width="86.109375" style="115" customWidth="1"/>
    <col min="1796" max="1796" width="11.88671875" style="115" customWidth="1"/>
    <col min="1797" max="1797" width="16.44140625" style="115" customWidth="1"/>
    <col min="1798" max="1798" width="14.44140625" style="115" customWidth="1"/>
    <col min="1799" max="1799" width="12.6640625" style="115" customWidth="1"/>
    <col min="1800" max="1800" width="85.6640625" style="115" customWidth="1"/>
    <col min="1801" max="2048" width="9.109375" style="115"/>
    <col min="2049" max="2050" width="12.6640625" style="115" customWidth="1"/>
    <col min="2051" max="2051" width="86.109375" style="115" customWidth="1"/>
    <col min="2052" max="2052" width="11.88671875" style="115" customWidth="1"/>
    <col min="2053" max="2053" width="16.44140625" style="115" customWidth="1"/>
    <col min="2054" max="2054" width="14.44140625" style="115" customWidth="1"/>
    <col min="2055" max="2055" width="12.6640625" style="115" customWidth="1"/>
    <col min="2056" max="2056" width="85.6640625" style="115" customWidth="1"/>
    <col min="2057" max="2304" width="9.109375" style="115"/>
    <col min="2305" max="2306" width="12.6640625" style="115" customWidth="1"/>
    <col min="2307" max="2307" width="86.109375" style="115" customWidth="1"/>
    <col min="2308" max="2308" width="11.88671875" style="115" customWidth="1"/>
    <col min="2309" max="2309" width="16.44140625" style="115" customWidth="1"/>
    <col min="2310" max="2310" width="14.44140625" style="115" customWidth="1"/>
    <col min="2311" max="2311" width="12.6640625" style="115" customWidth="1"/>
    <col min="2312" max="2312" width="85.6640625" style="115" customWidth="1"/>
    <col min="2313" max="2560" width="9.109375" style="115"/>
    <col min="2561" max="2562" width="12.6640625" style="115" customWidth="1"/>
    <col min="2563" max="2563" width="86.109375" style="115" customWidth="1"/>
    <col min="2564" max="2564" width="11.88671875" style="115" customWidth="1"/>
    <col min="2565" max="2565" width="16.44140625" style="115" customWidth="1"/>
    <col min="2566" max="2566" width="14.44140625" style="115" customWidth="1"/>
    <col min="2567" max="2567" width="12.6640625" style="115" customWidth="1"/>
    <col min="2568" max="2568" width="85.6640625" style="115" customWidth="1"/>
    <col min="2569" max="2816" width="9.109375" style="115"/>
    <col min="2817" max="2818" width="12.6640625" style="115" customWidth="1"/>
    <col min="2819" max="2819" width="86.109375" style="115" customWidth="1"/>
    <col min="2820" max="2820" width="11.88671875" style="115" customWidth="1"/>
    <col min="2821" max="2821" width="16.44140625" style="115" customWidth="1"/>
    <col min="2822" max="2822" width="14.44140625" style="115" customWidth="1"/>
    <col min="2823" max="2823" width="12.6640625" style="115" customWidth="1"/>
    <col min="2824" max="2824" width="85.6640625" style="115" customWidth="1"/>
    <col min="2825" max="3072" width="9.109375" style="115"/>
    <col min="3073" max="3074" width="12.6640625" style="115" customWidth="1"/>
    <col min="3075" max="3075" width="86.109375" style="115" customWidth="1"/>
    <col min="3076" max="3076" width="11.88671875" style="115" customWidth="1"/>
    <col min="3077" max="3077" width="16.44140625" style="115" customWidth="1"/>
    <col min="3078" max="3078" width="14.44140625" style="115" customWidth="1"/>
    <col min="3079" max="3079" width="12.6640625" style="115" customWidth="1"/>
    <col min="3080" max="3080" width="85.6640625" style="115" customWidth="1"/>
    <col min="3081" max="3328" width="9.109375" style="115"/>
    <col min="3329" max="3330" width="12.6640625" style="115" customWidth="1"/>
    <col min="3331" max="3331" width="86.109375" style="115" customWidth="1"/>
    <col min="3332" max="3332" width="11.88671875" style="115" customWidth="1"/>
    <col min="3333" max="3333" width="16.44140625" style="115" customWidth="1"/>
    <col min="3334" max="3334" width="14.44140625" style="115" customWidth="1"/>
    <col min="3335" max="3335" width="12.6640625" style="115" customWidth="1"/>
    <col min="3336" max="3336" width="85.6640625" style="115" customWidth="1"/>
    <col min="3337" max="3584" width="9.109375" style="115"/>
    <col min="3585" max="3586" width="12.6640625" style="115" customWidth="1"/>
    <col min="3587" max="3587" width="86.109375" style="115" customWidth="1"/>
    <col min="3588" max="3588" width="11.88671875" style="115" customWidth="1"/>
    <col min="3589" max="3589" width="16.44140625" style="115" customWidth="1"/>
    <col min="3590" max="3590" width="14.44140625" style="115" customWidth="1"/>
    <col min="3591" max="3591" width="12.6640625" style="115" customWidth="1"/>
    <col min="3592" max="3592" width="85.6640625" style="115" customWidth="1"/>
    <col min="3593" max="3840" width="9.109375" style="115"/>
    <col min="3841" max="3842" width="12.6640625" style="115" customWidth="1"/>
    <col min="3843" max="3843" width="86.109375" style="115" customWidth="1"/>
    <col min="3844" max="3844" width="11.88671875" style="115" customWidth="1"/>
    <col min="3845" max="3845" width="16.44140625" style="115" customWidth="1"/>
    <col min="3846" max="3846" width="14.44140625" style="115" customWidth="1"/>
    <col min="3847" max="3847" width="12.6640625" style="115" customWidth="1"/>
    <col min="3848" max="3848" width="85.6640625" style="115" customWidth="1"/>
    <col min="3849" max="4096" width="9.109375" style="115"/>
    <col min="4097" max="4098" width="12.6640625" style="115" customWidth="1"/>
    <col min="4099" max="4099" width="86.109375" style="115" customWidth="1"/>
    <col min="4100" max="4100" width="11.88671875" style="115" customWidth="1"/>
    <col min="4101" max="4101" width="16.44140625" style="115" customWidth="1"/>
    <col min="4102" max="4102" width="14.44140625" style="115" customWidth="1"/>
    <col min="4103" max="4103" width="12.6640625" style="115" customWidth="1"/>
    <col min="4104" max="4104" width="85.6640625" style="115" customWidth="1"/>
    <col min="4105" max="4352" width="9.109375" style="115"/>
    <col min="4353" max="4354" width="12.6640625" style="115" customWidth="1"/>
    <col min="4355" max="4355" width="86.109375" style="115" customWidth="1"/>
    <col min="4356" max="4356" width="11.88671875" style="115" customWidth="1"/>
    <col min="4357" max="4357" width="16.44140625" style="115" customWidth="1"/>
    <col min="4358" max="4358" width="14.44140625" style="115" customWidth="1"/>
    <col min="4359" max="4359" width="12.6640625" style="115" customWidth="1"/>
    <col min="4360" max="4360" width="85.6640625" style="115" customWidth="1"/>
    <col min="4361" max="4608" width="9.109375" style="115"/>
    <col min="4609" max="4610" width="12.6640625" style="115" customWidth="1"/>
    <col min="4611" max="4611" width="86.109375" style="115" customWidth="1"/>
    <col min="4612" max="4612" width="11.88671875" style="115" customWidth="1"/>
    <col min="4613" max="4613" width="16.44140625" style="115" customWidth="1"/>
    <col min="4614" max="4614" width="14.44140625" style="115" customWidth="1"/>
    <col min="4615" max="4615" width="12.6640625" style="115" customWidth="1"/>
    <col min="4616" max="4616" width="85.6640625" style="115" customWidth="1"/>
    <col min="4617" max="4864" width="9.109375" style="115"/>
    <col min="4865" max="4866" width="12.6640625" style="115" customWidth="1"/>
    <col min="4867" max="4867" width="86.109375" style="115" customWidth="1"/>
    <col min="4868" max="4868" width="11.88671875" style="115" customWidth="1"/>
    <col min="4869" max="4869" width="16.44140625" style="115" customWidth="1"/>
    <col min="4870" max="4870" width="14.44140625" style="115" customWidth="1"/>
    <col min="4871" max="4871" width="12.6640625" style="115" customWidth="1"/>
    <col min="4872" max="4872" width="85.6640625" style="115" customWidth="1"/>
    <col min="4873" max="5120" width="9.109375" style="115"/>
    <col min="5121" max="5122" width="12.6640625" style="115" customWidth="1"/>
    <col min="5123" max="5123" width="86.109375" style="115" customWidth="1"/>
    <col min="5124" max="5124" width="11.88671875" style="115" customWidth="1"/>
    <col min="5125" max="5125" width="16.44140625" style="115" customWidth="1"/>
    <col min="5126" max="5126" width="14.44140625" style="115" customWidth="1"/>
    <col min="5127" max="5127" width="12.6640625" style="115" customWidth="1"/>
    <col min="5128" max="5128" width="85.6640625" style="115" customWidth="1"/>
    <col min="5129" max="5376" width="9.109375" style="115"/>
    <col min="5377" max="5378" width="12.6640625" style="115" customWidth="1"/>
    <col min="5379" max="5379" width="86.109375" style="115" customWidth="1"/>
    <col min="5380" max="5380" width="11.88671875" style="115" customWidth="1"/>
    <col min="5381" max="5381" width="16.44140625" style="115" customWidth="1"/>
    <col min="5382" max="5382" width="14.44140625" style="115" customWidth="1"/>
    <col min="5383" max="5383" width="12.6640625" style="115" customWidth="1"/>
    <col min="5384" max="5384" width="85.6640625" style="115" customWidth="1"/>
    <col min="5385" max="5632" width="9.109375" style="115"/>
    <col min="5633" max="5634" width="12.6640625" style="115" customWidth="1"/>
    <col min="5635" max="5635" width="86.109375" style="115" customWidth="1"/>
    <col min="5636" max="5636" width="11.88671875" style="115" customWidth="1"/>
    <col min="5637" max="5637" width="16.44140625" style="115" customWidth="1"/>
    <col min="5638" max="5638" width="14.44140625" style="115" customWidth="1"/>
    <col min="5639" max="5639" width="12.6640625" style="115" customWidth="1"/>
    <col min="5640" max="5640" width="85.6640625" style="115" customWidth="1"/>
    <col min="5641" max="5888" width="9.109375" style="115"/>
    <col min="5889" max="5890" width="12.6640625" style="115" customWidth="1"/>
    <col min="5891" max="5891" width="86.109375" style="115" customWidth="1"/>
    <col min="5892" max="5892" width="11.88671875" style="115" customWidth="1"/>
    <col min="5893" max="5893" width="16.44140625" style="115" customWidth="1"/>
    <col min="5894" max="5894" width="14.44140625" style="115" customWidth="1"/>
    <col min="5895" max="5895" width="12.6640625" style="115" customWidth="1"/>
    <col min="5896" max="5896" width="85.6640625" style="115" customWidth="1"/>
    <col min="5897" max="6144" width="9.109375" style="115"/>
    <col min="6145" max="6146" width="12.6640625" style="115" customWidth="1"/>
    <col min="6147" max="6147" width="86.109375" style="115" customWidth="1"/>
    <col min="6148" max="6148" width="11.88671875" style="115" customWidth="1"/>
    <col min="6149" max="6149" width="16.44140625" style="115" customWidth="1"/>
    <col min="6150" max="6150" width="14.44140625" style="115" customWidth="1"/>
    <col min="6151" max="6151" width="12.6640625" style="115" customWidth="1"/>
    <col min="6152" max="6152" width="85.6640625" style="115" customWidth="1"/>
    <col min="6153" max="6400" width="9.109375" style="115"/>
    <col min="6401" max="6402" width="12.6640625" style="115" customWidth="1"/>
    <col min="6403" max="6403" width="86.109375" style="115" customWidth="1"/>
    <col min="6404" max="6404" width="11.88671875" style="115" customWidth="1"/>
    <col min="6405" max="6405" width="16.44140625" style="115" customWidth="1"/>
    <col min="6406" max="6406" width="14.44140625" style="115" customWidth="1"/>
    <col min="6407" max="6407" width="12.6640625" style="115" customWidth="1"/>
    <col min="6408" max="6408" width="85.6640625" style="115" customWidth="1"/>
    <col min="6409" max="6656" width="9.109375" style="115"/>
    <col min="6657" max="6658" width="12.6640625" style="115" customWidth="1"/>
    <col min="6659" max="6659" width="86.109375" style="115" customWidth="1"/>
    <col min="6660" max="6660" width="11.88671875" style="115" customWidth="1"/>
    <col min="6661" max="6661" width="16.44140625" style="115" customWidth="1"/>
    <col min="6662" max="6662" width="14.44140625" style="115" customWidth="1"/>
    <col min="6663" max="6663" width="12.6640625" style="115" customWidth="1"/>
    <col min="6664" max="6664" width="85.6640625" style="115" customWidth="1"/>
    <col min="6665" max="6912" width="9.109375" style="115"/>
    <col min="6913" max="6914" width="12.6640625" style="115" customWidth="1"/>
    <col min="6915" max="6915" width="86.109375" style="115" customWidth="1"/>
    <col min="6916" max="6916" width="11.88671875" style="115" customWidth="1"/>
    <col min="6917" max="6917" width="16.44140625" style="115" customWidth="1"/>
    <col min="6918" max="6918" width="14.44140625" style="115" customWidth="1"/>
    <col min="6919" max="6919" width="12.6640625" style="115" customWidth="1"/>
    <col min="6920" max="6920" width="85.6640625" style="115" customWidth="1"/>
    <col min="6921" max="7168" width="9.109375" style="115"/>
    <col min="7169" max="7170" width="12.6640625" style="115" customWidth="1"/>
    <col min="7171" max="7171" width="86.109375" style="115" customWidth="1"/>
    <col min="7172" max="7172" width="11.88671875" style="115" customWidth="1"/>
    <col min="7173" max="7173" width="16.44140625" style="115" customWidth="1"/>
    <col min="7174" max="7174" width="14.44140625" style="115" customWidth="1"/>
    <col min="7175" max="7175" width="12.6640625" style="115" customWidth="1"/>
    <col min="7176" max="7176" width="85.6640625" style="115" customWidth="1"/>
    <col min="7177" max="7424" width="9.109375" style="115"/>
    <col min="7425" max="7426" width="12.6640625" style="115" customWidth="1"/>
    <col min="7427" max="7427" width="86.109375" style="115" customWidth="1"/>
    <col min="7428" max="7428" width="11.88671875" style="115" customWidth="1"/>
    <col min="7429" max="7429" width="16.44140625" style="115" customWidth="1"/>
    <col min="7430" max="7430" width="14.44140625" style="115" customWidth="1"/>
    <col min="7431" max="7431" width="12.6640625" style="115" customWidth="1"/>
    <col min="7432" max="7432" width="85.6640625" style="115" customWidth="1"/>
    <col min="7433" max="7680" width="9.109375" style="115"/>
    <col min="7681" max="7682" width="12.6640625" style="115" customWidth="1"/>
    <col min="7683" max="7683" width="86.109375" style="115" customWidth="1"/>
    <col min="7684" max="7684" width="11.88671875" style="115" customWidth="1"/>
    <col min="7685" max="7685" width="16.44140625" style="115" customWidth="1"/>
    <col min="7686" max="7686" width="14.44140625" style="115" customWidth="1"/>
    <col min="7687" max="7687" width="12.6640625" style="115" customWidth="1"/>
    <col min="7688" max="7688" width="85.6640625" style="115" customWidth="1"/>
    <col min="7689" max="7936" width="9.109375" style="115"/>
    <col min="7937" max="7938" width="12.6640625" style="115" customWidth="1"/>
    <col min="7939" max="7939" width="86.109375" style="115" customWidth="1"/>
    <col min="7940" max="7940" width="11.88671875" style="115" customWidth="1"/>
    <col min="7941" max="7941" width="16.44140625" style="115" customWidth="1"/>
    <col min="7942" max="7942" width="14.44140625" style="115" customWidth="1"/>
    <col min="7943" max="7943" width="12.6640625" style="115" customWidth="1"/>
    <col min="7944" max="7944" width="85.6640625" style="115" customWidth="1"/>
    <col min="7945" max="8192" width="9.109375" style="115"/>
    <col min="8193" max="8194" width="12.6640625" style="115" customWidth="1"/>
    <col min="8195" max="8195" width="86.109375" style="115" customWidth="1"/>
    <col min="8196" max="8196" width="11.88671875" style="115" customWidth="1"/>
    <col min="8197" max="8197" width="16.44140625" style="115" customWidth="1"/>
    <col min="8198" max="8198" width="14.44140625" style="115" customWidth="1"/>
    <col min="8199" max="8199" width="12.6640625" style="115" customWidth="1"/>
    <col min="8200" max="8200" width="85.6640625" style="115" customWidth="1"/>
    <col min="8201" max="8448" width="9.109375" style="115"/>
    <col min="8449" max="8450" width="12.6640625" style="115" customWidth="1"/>
    <col min="8451" max="8451" width="86.109375" style="115" customWidth="1"/>
    <col min="8452" max="8452" width="11.88671875" style="115" customWidth="1"/>
    <col min="8453" max="8453" width="16.44140625" style="115" customWidth="1"/>
    <col min="8454" max="8454" width="14.44140625" style="115" customWidth="1"/>
    <col min="8455" max="8455" width="12.6640625" style="115" customWidth="1"/>
    <col min="8456" max="8456" width="85.6640625" style="115" customWidth="1"/>
    <col min="8457" max="8704" width="9.109375" style="115"/>
    <col min="8705" max="8706" width="12.6640625" style="115" customWidth="1"/>
    <col min="8707" max="8707" width="86.109375" style="115" customWidth="1"/>
    <col min="8708" max="8708" width="11.88671875" style="115" customWidth="1"/>
    <col min="8709" max="8709" width="16.44140625" style="115" customWidth="1"/>
    <col min="8710" max="8710" width="14.44140625" style="115" customWidth="1"/>
    <col min="8711" max="8711" width="12.6640625" style="115" customWidth="1"/>
    <col min="8712" max="8712" width="85.6640625" style="115" customWidth="1"/>
    <col min="8713" max="8960" width="9.109375" style="115"/>
    <col min="8961" max="8962" width="12.6640625" style="115" customWidth="1"/>
    <col min="8963" max="8963" width="86.109375" style="115" customWidth="1"/>
    <col min="8964" max="8964" width="11.88671875" style="115" customWidth="1"/>
    <col min="8965" max="8965" width="16.44140625" style="115" customWidth="1"/>
    <col min="8966" max="8966" width="14.44140625" style="115" customWidth="1"/>
    <col min="8967" max="8967" width="12.6640625" style="115" customWidth="1"/>
    <col min="8968" max="8968" width="85.6640625" style="115" customWidth="1"/>
    <col min="8969" max="9216" width="9.109375" style="115"/>
    <col min="9217" max="9218" width="12.6640625" style="115" customWidth="1"/>
    <col min="9219" max="9219" width="86.109375" style="115" customWidth="1"/>
    <col min="9220" max="9220" width="11.88671875" style="115" customWidth="1"/>
    <col min="9221" max="9221" width="16.44140625" style="115" customWidth="1"/>
    <col min="9222" max="9222" width="14.44140625" style="115" customWidth="1"/>
    <col min="9223" max="9223" width="12.6640625" style="115" customWidth="1"/>
    <col min="9224" max="9224" width="85.6640625" style="115" customWidth="1"/>
    <col min="9225" max="9472" width="9.109375" style="115"/>
    <col min="9473" max="9474" width="12.6640625" style="115" customWidth="1"/>
    <col min="9475" max="9475" width="86.109375" style="115" customWidth="1"/>
    <col min="9476" max="9476" width="11.88671875" style="115" customWidth="1"/>
    <col min="9477" max="9477" width="16.44140625" style="115" customWidth="1"/>
    <col min="9478" max="9478" width="14.44140625" style="115" customWidth="1"/>
    <col min="9479" max="9479" width="12.6640625" style="115" customWidth="1"/>
    <col min="9480" max="9480" width="85.6640625" style="115" customWidth="1"/>
    <col min="9481" max="9728" width="9.109375" style="115"/>
    <col min="9729" max="9730" width="12.6640625" style="115" customWidth="1"/>
    <col min="9731" max="9731" width="86.109375" style="115" customWidth="1"/>
    <col min="9732" max="9732" width="11.88671875" style="115" customWidth="1"/>
    <col min="9733" max="9733" width="16.44140625" style="115" customWidth="1"/>
    <col min="9734" max="9734" width="14.44140625" style="115" customWidth="1"/>
    <col min="9735" max="9735" width="12.6640625" style="115" customWidth="1"/>
    <col min="9736" max="9736" width="85.6640625" style="115" customWidth="1"/>
    <col min="9737" max="9984" width="9.109375" style="115"/>
    <col min="9985" max="9986" width="12.6640625" style="115" customWidth="1"/>
    <col min="9987" max="9987" width="86.109375" style="115" customWidth="1"/>
    <col min="9988" max="9988" width="11.88671875" style="115" customWidth="1"/>
    <col min="9989" max="9989" width="16.44140625" style="115" customWidth="1"/>
    <col min="9990" max="9990" width="14.44140625" style="115" customWidth="1"/>
    <col min="9991" max="9991" width="12.6640625" style="115" customWidth="1"/>
    <col min="9992" max="9992" width="85.6640625" style="115" customWidth="1"/>
    <col min="9993" max="10240" width="9.109375" style="115"/>
    <col min="10241" max="10242" width="12.6640625" style="115" customWidth="1"/>
    <col min="10243" max="10243" width="86.109375" style="115" customWidth="1"/>
    <col min="10244" max="10244" width="11.88671875" style="115" customWidth="1"/>
    <col min="10245" max="10245" width="16.44140625" style="115" customWidth="1"/>
    <col min="10246" max="10246" width="14.44140625" style="115" customWidth="1"/>
    <col min="10247" max="10247" width="12.6640625" style="115" customWidth="1"/>
    <col min="10248" max="10248" width="85.6640625" style="115" customWidth="1"/>
    <col min="10249" max="10496" width="9.109375" style="115"/>
    <col min="10497" max="10498" width="12.6640625" style="115" customWidth="1"/>
    <col min="10499" max="10499" width="86.109375" style="115" customWidth="1"/>
    <col min="10500" max="10500" width="11.88671875" style="115" customWidth="1"/>
    <col min="10501" max="10501" width="16.44140625" style="115" customWidth="1"/>
    <col min="10502" max="10502" width="14.44140625" style="115" customWidth="1"/>
    <col min="10503" max="10503" width="12.6640625" style="115" customWidth="1"/>
    <col min="10504" max="10504" width="85.6640625" style="115" customWidth="1"/>
    <col min="10505" max="10752" width="9.109375" style="115"/>
    <col min="10753" max="10754" width="12.6640625" style="115" customWidth="1"/>
    <col min="10755" max="10755" width="86.109375" style="115" customWidth="1"/>
    <col min="10756" max="10756" width="11.88671875" style="115" customWidth="1"/>
    <col min="10757" max="10757" width="16.44140625" style="115" customWidth="1"/>
    <col min="10758" max="10758" width="14.44140625" style="115" customWidth="1"/>
    <col min="10759" max="10759" width="12.6640625" style="115" customWidth="1"/>
    <col min="10760" max="10760" width="85.6640625" style="115" customWidth="1"/>
    <col min="10761" max="11008" width="9.109375" style="115"/>
    <col min="11009" max="11010" width="12.6640625" style="115" customWidth="1"/>
    <col min="11011" max="11011" width="86.109375" style="115" customWidth="1"/>
    <col min="11012" max="11012" width="11.88671875" style="115" customWidth="1"/>
    <col min="11013" max="11013" width="16.44140625" style="115" customWidth="1"/>
    <col min="11014" max="11014" width="14.44140625" style="115" customWidth="1"/>
    <col min="11015" max="11015" width="12.6640625" style="115" customWidth="1"/>
    <col min="11016" max="11016" width="85.6640625" style="115" customWidth="1"/>
    <col min="11017" max="11264" width="9.109375" style="115"/>
    <col min="11265" max="11266" width="12.6640625" style="115" customWidth="1"/>
    <col min="11267" max="11267" width="86.109375" style="115" customWidth="1"/>
    <col min="11268" max="11268" width="11.88671875" style="115" customWidth="1"/>
    <col min="11269" max="11269" width="16.44140625" style="115" customWidth="1"/>
    <col min="11270" max="11270" width="14.44140625" style="115" customWidth="1"/>
    <col min="11271" max="11271" width="12.6640625" style="115" customWidth="1"/>
    <col min="11272" max="11272" width="85.6640625" style="115" customWidth="1"/>
    <col min="11273" max="11520" width="9.109375" style="115"/>
    <col min="11521" max="11522" width="12.6640625" style="115" customWidth="1"/>
    <col min="11523" max="11523" width="86.109375" style="115" customWidth="1"/>
    <col min="11524" max="11524" width="11.88671875" style="115" customWidth="1"/>
    <col min="11525" max="11525" width="16.44140625" style="115" customWidth="1"/>
    <col min="11526" max="11526" width="14.44140625" style="115" customWidth="1"/>
    <col min="11527" max="11527" width="12.6640625" style="115" customWidth="1"/>
    <col min="11528" max="11528" width="85.6640625" style="115" customWidth="1"/>
    <col min="11529" max="11776" width="9.109375" style="115"/>
    <col min="11777" max="11778" width="12.6640625" style="115" customWidth="1"/>
    <col min="11779" max="11779" width="86.109375" style="115" customWidth="1"/>
    <col min="11780" max="11780" width="11.88671875" style="115" customWidth="1"/>
    <col min="11781" max="11781" width="16.44140625" style="115" customWidth="1"/>
    <col min="11782" max="11782" width="14.44140625" style="115" customWidth="1"/>
    <col min="11783" max="11783" width="12.6640625" style="115" customWidth="1"/>
    <col min="11784" max="11784" width="85.6640625" style="115" customWidth="1"/>
    <col min="11785" max="12032" width="9.109375" style="115"/>
    <col min="12033" max="12034" width="12.6640625" style="115" customWidth="1"/>
    <col min="12035" max="12035" width="86.109375" style="115" customWidth="1"/>
    <col min="12036" max="12036" width="11.88671875" style="115" customWidth="1"/>
    <col min="12037" max="12037" width="16.44140625" style="115" customWidth="1"/>
    <col min="12038" max="12038" width="14.44140625" style="115" customWidth="1"/>
    <col min="12039" max="12039" width="12.6640625" style="115" customWidth="1"/>
    <col min="12040" max="12040" width="85.6640625" style="115" customWidth="1"/>
    <col min="12041" max="12288" width="9.109375" style="115"/>
    <col min="12289" max="12290" width="12.6640625" style="115" customWidth="1"/>
    <col min="12291" max="12291" width="86.109375" style="115" customWidth="1"/>
    <col min="12292" max="12292" width="11.88671875" style="115" customWidth="1"/>
    <col min="12293" max="12293" width="16.44140625" style="115" customWidth="1"/>
    <col min="12294" max="12294" width="14.44140625" style="115" customWidth="1"/>
    <col min="12295" max="12295" width="12.6640625" style="115" customWidth="1"/>
    <col min="12296" max="12296" width="85.6640625" style="115" customWidth="1"/>
    <col min="12297" max="12544" width="9.109375" style="115"/>
    <col min="12545" max="12546" width="12.6640625" style="115" customWidth="1"/>
    <col min="12547" max="12547" width="86.109375" style="115" customWidth="1"/>
    <col min="12548" max="12548" width="11.88671875" style="115" customWidth="1"/>
    <col min="12549" max="12549" width="16.44140625" style="115" customWidth="1"/>
    <col min="12550" max="12550" width="14.44140625" style="115" customWidth="1"/>
    <col min="12551" max="12551" width="12.6640625" style="115" customWidth="1"/>
    <col min="12552" max="12552" width="85.6640625" style="115" customWidth="1"/>
    <col min="12553" max="12800" width="9.109375" style="115"/>
    <col min="12801" max="12802" width="12.6640625" style="115" customWidth="1"/>
    <col min="12803" max="12803" width="86.109375" style="115" customWidth="1"/>
    <col min="12804" max="12804" width="11.88671875" style="115" customWidth="1"/>
    <col min="12805" max="12805" width="16.44140625" style="115" customWidth="1"/>
    <col min="12806" max="12806" width="14.44140625" style="115" customWidth="1"/>
    <col min="12807" max="12807" width="12.6640625" style="115" customWidth="1"/>
    <col min="12808" max="12808" width="85.6640625" style="115" customWidth="1"/>
    <col min="12809" max="13056" width="9.109375" style="115"/>
    <col min="13057" max="13058" width="12.6640625" style="115" customWidth="1"/>
    <col min="13059" max="13059" width="86.109375" style="115" customWidth="1"/>
    <col min="13060" max="13060" width="11.88671875" style="115" customWidth="1"/>
    <col min="13061" max="13061" width="16.44140625" style="115" customWidth="1"/>
    <col min="13062" max="13062" width="14.44140625" style="115" customWidth="1"/>
    <col min="13063" max="13063" width="12.6640625" style="115" customWidth="1"/>
    <col min="13064" max="13064" width="85.6640625" style="115" customWidth="1"/>
    <col min="13065" max="13312" width="9.109375" style="115"/>
    <col min="13313" max="13314" width="12.6640625" style="115" customWidth="1"/>
    <col min="13315" max="13315" width="86.109375" style="115" customWidth="1"/>
    <col min="13316" max="13316" width="11.88671875" style="115" customWidth="1"/>
    <col min="13317" max="13317" width="16.44140625" style="115" customWidth="1"/>
    <col min="13318" max="13318" width="14.44140625" style="115" customWidth="1"/>
    <col min="13319" max="13319" width="12.6640625" style="115" customWidth="1"/>
    <col min="13320" max="13320" width="85.6640625" style="115" customWidth="1"/>
    <col min="13321" max="13568" width="9.109375" style="115"/>
    <col min="13569" max="13570" width="12.6640625" style="115" customWidth="1"/>
    <col min="13571" max="13571" width="86.109375" style="115" customWidth="1"/>
    <col min="13572" max="13572" width="11.88671875" style="115" customWidth="1"/>
    <col min="13573" max="13573" width="16.44140625" style="115" customWidth="1"/>
    <col min="13574" max="13574" width="14.44140625" style="115" customWidth="1"/>
    <col min="13575" max="13575" width="12.6640625" style="115" customWidth="1"/>
    <col min="13576" max="13576" width="85.6640625" style="115" customWidth="1"/>
    <col min="13577" max="13824" width="9.109375" style="115"/>
    <col min="13825" max="13826" width="12.6640625" style="115" customWidth="1"/>
    <col min="13827" max="13827" width="86.109375" style="115" customWidth="1"/>
    <col min="13828" max="13828" width="11.88671875" style="115" customWidth="1"/>
    <col min="13829" max="13829" width="16.44140625" style="115" customWidth="1"/>
    <col min="13830" max="13830" width="14.44140625" style="115" customWidth="1"/>
    <col min="13831" max="13831" width="12.6640625" style="115" customWidth="1"/>
    <col min="13832" max="13832" width="85.6640625" style="115" customWidth="1"/>
    <col min="13833" max="14080" width="9.109375" style="115"/>
    <col min="14081" max="14082" width="12.6640625" style="115" customWidth="1"/>
    <col min="14083" max="14083" width="86.109375" style="115" customWidth="1"/>
    <col min="14084" max="14084" width="11.88671875" style="115" customWidth="1"/>
    <col min="14085" max="14085" width="16.44140625" style="115" customWidth="1"/>
    <col min="14086" max="14086" width="14.44140625" style="115" customWidth="1"/>
    <col min="14087" max="14087" width="12.6640625" style="115" customWidth="1"/>
    <col min="14088" max="14088" width="85.6640625" style="115" customWidth="1"/>
    <col min="14089" max="14336" width="9.109375" style="115"/>
    <col min="14337" max="14338" width="12.6640625" style="115" customWidth="1"/>
    <col min="14339" max="14339" width="86.109375" style="115" customWidth="1"/>
    <col min="14340" max="14340" width="11.88671875" style="115" customWidth="1"/>
    <col min="14341" max="14341" width="16.44140625" style="115" customWidth="1"/>
    <col min="14342" max="14342" width="14.44140625" style="115" customWidth="1"/>
    <col min="14343" max="14343" width="12.6640625" style="115" customWidth="1"/>
    <col min="14344" max="14344" width="85.6640625" style="115" customWidth="1"/>
    <col min="14345" max="14592" width="9.109375" style="115"/>
    <col min="14593" max="14594" width="12.6640625" style="115" customWidth="1"/>
    <col min="14595" max="14595" width="86.109375" style="115" customWidth="1"/>
    <col min="14596" max="14596" width="11.88671875" style="115" customWidth="1"/>
    <col min="14597" max="14597" width="16.44140625" style="115" customWidth="1"/>
    <col min="14598" max="14598" width="14.44140625" style="115" customWidth="1"/>
    <col min="14599" max="14599" width="12.6640625" style="115" customWidth="1"/>
    <col min="14600" max="14600" width="85.6640625" style="115" customWidth="1"/>
    <col min="14601" max="14848" width="9.109375" style="115"/>
    <col min="14849" max="14850" width="12.6640625" style="115" customWidth="1"/>
    <col min="14851" max="14851" width="86.109375" style="115" customWidth="1"/>
    <col min="14852" max="14852" width="11.88671875" style="115" customWidth="1"/>
    <col min="14853" max="14853" width="16.44140625" style="115" customWidth="1"/>
    <col min="14854" max="14854" width="14.44140625" style="115" customWidth="1"/>
    <col min="14855" max="14855" width="12.6640625" style="115" customWidth="1"/>
    <col min="14856" max="14856" width="85.6640625" style="115" customWidth="1"/>
    <col min="14857" max="15104" width="9.109375" style="115"/>
    <col min="15105" max="15106" width="12.6640625" style="115" customWidth="1"/>
    <col min="15107" max="15107" width="86.109375" style="115" customWidth="1"/>
    <col min="15108" max="15108" width="11.88671875" style="115" customWidth="1"/>
    <col min="15109" max="15109" width="16.44140625" style="115" customWidth="1"/>
    <col min="15110" max="15110" width="14.44140625" style="115" customWidth="1"/>
    <col min="15111" max="15111" width="12.6640625" style="115" customWidth="1"/>
    <col min="15112" max="15112" width="85.6640625" style="115" customWidth="1"/>
    <col min="15113" max="15360" width="9.109375" style="115"/>
    <col min="15361" max="15362" width="12.6640625" style="115" customWidth="1"/>
    <col min="15363" max="15363" width="86.109375" style="115" customWidth="1"/>
    <col min="15364" max="15364" width="11.88671875" style="115" customWidth="1"/>
    <col min="15365" max="15365" width="16.44140625" style="115" customWidth="1"/>
    <col min="15366" max="15366" width="14.44140625" style="115" customWidth="1"/>
    <col min="15367" max="15367" width="12.6640625" style="115" customWidth="1"/>
    <col min="15368" max="15368" width="85.6640625" style="115" customWidth="1"/>
    <col min="15369" max="15616" width="9.109375" style="115"/>
    <col min="15617" max="15618" width="12.6640625" style="115" customWidth="1"/>
    <col min="15619" max="15619" width="86.109375" style="115" customWidth="1"/>
    <col min="15620" max="15620" width="11.88671875" style="115" customWidth="1"/>
    <col min="15621" max="15621" width="16.44140625" style="115" customWidth="1"/>
    <col min="15622" max="15622" width="14.44140625" style="115" customWidth="1"/>
    <col min="15623" max="15623" width="12.6640625" style="115" customWidth="1"/>
    <col min="15624" max="15624" width="85.6640625" style="115" customWidth="1"/>
    <col min="15625" max="15872" width="9.109375" style="115"/>
    <col min="15873" max="15874" width="12.6640625" style="115" customWidth="1"/>
    <col min="15875" max="15875" width="86.109375" style="115" customWidth="1"/>
    <col min="15876" max="15876" width="11.88671875" style="115" customWidth="1"/>
    <col min="15877" max="15877" width="16.44140625" style="115" customWidth="1"/>
    <col min="15878" max="15878" width="14.44140625" style="115" customWidth="1"/>
    <col min="15879" max="15879" width="12.6640625" style="115" customWidth="1"/>
    <col min="15880" max="15880" width="85.6640625" style="115" customWidth="1"/>
    <col min="15881" max="16128" width="9.109375" style="115"/>
    <col min="16129" max="16130" width="12.6640625" style="115" customWidth="1"/>
    <col min="16131" max="16131" width="86.109375" style="115" customWidth="1"/>
    <col min="16132" max="16132" width="11.88671875" style="115" customWidth="1"/>
    <col min="16133" max="16133" width="16.44140625" style="115" customWidth="1"/>
    <col min="16134" max="16134" width="14.44140625" style="115" customWidth="1"/>
    <col min="16135" max="16135" width="12.6640625" style="115" customWidth="1"/>
    <col min="16136" max="16136" width="85.6640625" style="115" customWidth="1"/>
    <col min="16137" max="16384" width="9.109375" style="115"/>
  </cols>
  <sheetData>
    <row r="1" spans="1:57" s="2" customFormat="1" ht="34.950000000000003" customHeight="1" x14ac:dyDescent="0.3">
      <c r="A1" s="373">
        <f ca="1">TODAY()</f>
        <v>44656</v>
      </c>
      <c r="B1" s="373"/>
      <c r="C1" s="373"/>
      <c r="D1" s="1"/>
      <c r="E1" s="1"/>
      <c r="F1" s="1"/>
      <c r="G1" s="1"/>
      <c r="H1" s="374"/>
      <c r="I1" s="199"/>
      <c r="J1" s="373"/>
      <c r="K1" s="373"/>
      <c r="L1" s="373"/>
      <c r="M1" s="1"/>
      <c r="N1" s="1"/>
      <c r="O1" s="1"/>
      <c r="P1" s="1"/>
      <c r="Q1" s="374"/>
      <c r="R1" s="199"/>
      <c r="S1" s="373"/>
      <c r="T1" s="373"/>
      <c r="U1" s="373"/>
      <c r="V1" s="1"/>
      <c r="W1" s="1"/>
      <c r="X1" s="1"/>
      <c r="Y1" s="1"/>
      <c r="Z1" s="374"/>
    </row>
    <row r="2" spans="1:57" s="2" customFormat="1" ht="15" customHeight="1" x14ac:dyDescent="0.3">
      <c r="A2" s="3"/>
      <c r="B2" s="3"/>
      <c r="C2" s="4"/>
      <c r="D2" s="1"/>
      <c r="E2" s="1"/>
      <c r="F2" s="1"/>
      <c r="G2" s="1"/>
      <c r="H2" s="374"/>
      <c r="I2" s="200"/>
      <c r="J2" s="3"/>
      <c r="K2" s="3"/>
      <c r="L2" s="4"/>
      <c r="M2" s="1"/>
      <c r="N2" s="1"/>
      <c r="O2" s="1"/>
      <c r="P2" s="1"/>
      <c r="Q2" s="374"/>
      <c r="R2" s="200"/>
      <c r="S2" s="3"/>
      <c r="T2" s="3"/>
      <c r="U2" s="4"/>
      <c r="V2" s="1"/>
      <c r="W2" s="1"/>
      <c r="X2" s="1"/>
      <c r="Y2" s="1"/>
      <c r="Z2" s="374"/>
    </row>
    <row r="3" spans="1:57" s="10" customFormat="1" ht="34.799999999999997" customHeight="1" x14ac:dyDescent="0.3">
      <c r="A3" s="5" t="s">
        <v>0</v>
      </c>
      <c r="B3" s="6"/>
      <c r="C3" s="7"/>
      <c r="D3" s="8"/>
      <c r="E3" s="8"/>
      <c r="F3" s="8"/>
      <c r="G3" s="8"/>
      <c r="H3" s="374"/>
      <c r="I3" s="201"/>
      <c r="J3" s="5" t="s">
        <v>9</v>
      </c>
      <c r="K3" s="6"/>
      <c r="L3" s="7"/>
      <c r="M3" s="8"/>
      <c r="N3" s="8"/>
      <c r="O3" s="8"/>
      <c r="P3" s="8"/>
      <c r="Q3" s="374"/>
      <c r="R3" s="220"/>
      <c r="S3" s="5"/>
      <c r="T3" s="6"/>
      <c r="U3" s="7"/>
      <c r="V3" s="8"/>
      <c r="W3" s="8"/>
      <c r="X3" s="8"/>
      <c r="Y3" s="8"/>
      <c r="Z3" s="374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</row>
    <row r="4" spans="1:57" s="12" customFormat="1" ht="24.6" customHeight="1" x14ac:dyDescent="0.3">
      <c r="A4" s="11" t="s">
        <v>1</v>
      </c>
      <c r="B4" s="11" t="s">
        <v>2</v>
      </c>
      <c r="C4" s="11" t="s">
        <v>3</v>
      </c>
      <c r="D4" s="11" t="s">
        <v>4</v>
      </c>
      <c r="E4" s="11" t="s">
        <v>5</v>
      </c>
      <c r="F4" s="11" t="s">
        <v>6</v>
      </c>
      <c r="G4" s="11" t="s">
        <v>7</v>
      </c>
      <c r="H4" s="173" t="s">
        <v>8</v>
      </c>
      <c r="I4" s="202"/>
      <c r="J4" s="185" t="s">
        <v>1</v>
      </c>
      <c r="K4" s="27" t="s">
        <v>2</v>
      </c>
      <c r="L4" s="27" t="s">
        <v>3</v>
      </c>
      <c r="M4" s="27" t="s">
        <v>10</v>
      </c>
      <c r="N4" s="27" t="s">
        <v>5</v>
      </c>
      <c r="O4" s="27" t="s">
        <v>11</v>
      </c>
      <c r="P4" s="27" t="s">
        <v>7</v>
      </c>
      <c r="Q4" s="215" t="s">
        <v>8</v>
      </c>
      <c r="R4" s="202"/>
      <c r="S4" s="185"/>
      <c r="T4" s="27"/>
      <c r="U4" s="27"/>
      <c r="V4" s="27"/>
      <c r="W4" s="27"/>
      <c r="X4" s="27"/>
      <c r="Y4" s="27"/>
      <c r="Z4" s="26"/>
    </row>
    <row r="5" spans="1:57" s="19" customFormat="1" ht="25.05" customHeight="1" x14ac:dyDescent="0.3">
      <c r="A5" s="119">
        <f>Departures!B3</f>
        <v>21</v>
      </c>
      <c r="B5" s="14" t="str">
        <f>IF(A5=1,"EGT",IF(A5=8,"ESH",IF(A5=16,"ESE",IF(A5=21,"ESG",IF(A5=27,"EGV",IF(OR(A5=36,A5=41),"EAM",IF(OR(A5=7,A5=15,A5=28,A5=35),"DKM","SKM")))))))</f>
        <v>ESG</v>
      </c>
      <c r="C5" s="13" t="str">
        <f>VLOOKUP(A5, 'Status Sheet'!$A$9:$J$60,3)</f>
        <v>MCKENNA, Mr Patrick / NEWMAN, Ms Emily</v>
      </c>
      <c r="D5" s="15" t="str">
        <f>IF(Departures!L3 = 0, "12:00",Departures!L3)</f>
        <v>12:00</v>
      </c>
      <c r="E5" s="16" t="str">
        <f>Departures!J3</f>
        <v>OWN</v>
      </c>
      <c r="F5" s="15" t="str">
        <f>IF(NOT(Departures!N3), "TBA",Departures!N3)</f>
        <v>TBA</v>
      </c>
      <c r="G5" s="16">
        <f>VLOOKUP(A5, 'Status Sheet'!$A$9:$J$60,9)</f>
        <v>0</v>
      </c>
      <c r="H5" s="174" t="str">
        <f>IF(Departures!H3 = "O", "OWN", " ")</f>
        <v>OWN</v>
      </c>
      <c r="I5" s="212"/>
      <c r="J5" s="186">
        <f>Arrivals!B3</f>
        <v>31</v>
      </c>
      <c r="K5" s="63" t="str">
        <f>IF(J5=1,"EGT",IF(J5=8,"ESH",IF(J5=16,"ESE",IF(J5=21,"ESG",IF(J5=27,"EGV",IF(OR(J5=36,J5=41),"EAM",IF(OR(J5=7,J5=15,J5=28,J5=35),"DKM","SKM")))))))</f>
        <v>SKM</v>
      </c>
      <c r="L5" s="61" t="str">
        <f>UPPER(LEFT(Arrivals!D3,FIND(",",Arrivals!D3)))</f>
        <v>TING,</v>
      </c>
      <c r="M5" s="60" t="str">
        <f>IF(Arrivals!H3 = "R", "AMAN($)", "OWN")</f>
        <v>OWN</v>
      </c>
      <c r="N5" s="29" t="str">
        <f>Arrivals!J3</f>
        <v>DL2533</v>
      </c>
      <c r="O5" s="172">
        <f>IF(Arrivals!L3, Arrivals!L3, "TBA")</f>
        <v>0.61111111111111105</v>
      </c>
      <c r="Q5" s="216"/>
      <c r="R5" s="212"/>
      <c r="S5" s="186"/>
      <c r="T5" s="63"/>
      <c r="U5" s="61"/>
      <c r="V5" s="60"/>
      <c r="W5" s="29"/>
      <c r="X5" s="60"/>
      <c r="Y5" s="29"/>
      <c r="Z5" s="30"/>
    </row>
    <row r="6" spans="1:57" s="19" customFormat="1" ht="25.05" customHeight="1" x14ac:dyDescent="0.3">
      <c r="A6" s="119">
        <f>Departures!B5</f>
        <v>24</v>
      </c>
      <c r="B6" s="14" t="str">
        <f t="shared" ref="B6:B24" si="0">IF(A6=1,"EGT",IF(A6=8,"ESH",IF(A6=16,"ESE",IF(A6=21,"ESG",IF(A6=27,"EGV",IF(OR(A6=36,A6=41),"EAM",IF(OR(A6=7,A6=15,A6=28,A6=35),"DKM","SKM")))))))</f>
        <v>SKM</v>
      </c>
      <c r="C6" s="13" t="str">
        <f>VLOOKUP(A6, 'Status Sheet'!$A$9:$J$60,3)</f>
        <v>ZABNER, Mr Zac / GUEST</v>
      </c>
      <c r="D6" s="15">
        <f>IF(Departures!L5 = 0, "12:00",Departures!L5)</f>
        <v>0.21875</v>
      </c>
      <c r="E6" s="16" t="str">
        <f>Departures!J5</f>
        <v>DL2846</v>
      </c>
      <c r="F6" s="15">
        <f>IF(NOT(Departures!N5), "TBA",Departures!N5)</f>
        <v>0.29166666666666669</v>
      </c>
      <c r="G6" s="16" t="str">
        <f>VLOOKUP(A6, 'Status Sheet'!$A$9:$J$60,9)</f>
        <v>UNDI</v>
      </c>
      <c r="H6" s="174" t="str">
        <f>IF(Departures!H5 = "O", "OWN", " ")</f>
        <v xml:space="preserve"> </v>
      </c>
      <c r="I6" s="212"/>
      <c r="J6" s="186">
        <f>Arrivals!B5</f>
        <v>34</v>
      </c>
      <c r="K6" s="63" t="str">
        <f t="shared" ref="K6:K24" si="1">IF(J6=1,"EGT",IF(J6=8,"ESH",IF(J6=16,"ESE",IF(J6=21,"ESG",IF(J6=27,"EGV",IF(OR(J6=36,J6=41),"EAM",IF(OR(J6=7,J6=15,J6=28,J6=35),"DKM","SKM")))))))</f>
        <v>SKM</v>
      </c>
      <c r="L6" s="61" t="str">
        <f>UPPER(LEFT(Arrivals!D5,FIND(",",Arrivals!D5)))</f>
        <v>FRIEDMAN,</v>
      </c>
      <c r="M6" s="60" t="str">
        <f>IF(Arrivals!H5 = "R", "AMAN($)", "OWN")</f>
        <v>OWN</v>
      </c>
      <c r="N6" s="29" t="str">
        <f>Arrivals!J5</f>
        <v>own</v>
      </c>
      <c r="O6" s="172">
        <f>IF(Arrivals!L5, Arrivals!L5, "TBA")</f>
        <v>0.8652777777777777</v>
      </c>
      <c r="Q6" s="216"/>
      <c r="R6" s="212"/>
      <c r="S6" s="186"/>
      <c r="T6" s="63"/>
      <c r="U6" s="61"/>
      <c r="V6" s="60"/>
      <c r="W6" s="31"/>
      <c r="X6" s="66"/>
      <c r="Y6" s="29"/>
      <c r="Z6" s="30"/>
    </row>
    <row r="7" spans="1:57" s="19" customFormat="1" ht="25.05" customHeight="1" x14ac:dyDescent="0.3">
      <c r="A7" s="119">
        <f>Departures!B7</f>
        <v>23</v>
      </c>
      <c r="B7" s="14" t="str">
        <f t="shared" si="0"/>
        <v>SKM</v>
      </c>
      <c r="C7" s="13" t="str">
        <f>VLOOKUP(A7, 'Status Sheet'!$A$9:$J$60,3)</f>
        <v>VARDI, Mr Shawn / WIFE (pregnant)</v>
      </c>
      <c r="D7" s="15">
        <f>IF(Departures!L7 = 0, "12:00",Departures!L7)</f>
        <v>0.21875</v>
      </c>
      <c r="E7" s="16" t="str">
        <f>Departures!J7</f>
        <v>DL2846</v>
      </c>
      <c r="F7" s="15">
        <f>IF(NOT(Departures!N7), "TBA",Departures!N7)</f>
        <v>0.29166666666666669</v>
      </c>
      <c r="G7" s="16" t="str">
        <f>VLOOKUP(A7, 'Status Sheet'!$A$9:$J$60,9)</f>
        <v>UNDI</v>
      </c>
      <c r="H7" s="174" t="str">
        <f>IF(Departures!H7 = "O", "OWN", " ")</f>
        <v xml:space="preserve"> </v>
      </c>
      <c r="I7" s="212"/>
      <c r="J7" s="186">
        <f>Arrivals!B7</f>
        <v>33</v>
      </c>
      <c r="K7" s="63" t="str">
        <f t="shared" si="1"/>
        <v>SKM</v>
      </c>
      <c r="L7" s="61" t="str">
        <f>UPPER(LEFT(Arrivals!D7,FIND(",",Arrivals!D7)))</f>
        <v>FRIEDMAN,</v>
      </c>
      <c r="M7" s="60" t="str">
        <f>IF(Arrivals!H7 = "R", "AMAN($)", "OWN")</f>
        <v>OWN</v>
      </c>
      <c r="N7" s="29" t="str">
        <f>Arrivals!J7</f>
        <v>OWN</v>
      </c>
      <c r="O7" s="172" t="str">
        <f>IF(Arrivals!L7, Arrivals!L7, "TBA")</f>
        <v>TBA</v>
      </c>
      <c r="Q7" s="216"/>
      <c r="R7" s="212"/>
      <c r="S7" s="186"/>
      <c r="T7" s="63"/>
      <c r="U7" s="61"/>
      <c r="V7" s="60"/>
      <c r="W7" s="29"/>
      <c r="X7" s="60"/>
      <c r="Y7" s="29"/>
      <c r="Z7" s="30"/>
    </row>
    <row r="8" spans="1:57" s="19" customFormat="1" ht="25.05" customHeight="1" x14ac:dyDescent="0.3">
      <c r="A8" s="119">
        <f>Departures!B9</f>
        <v>22</v>
      </c>
      <c r="B8" s="14" t="str">
        <f t="shared" si="0"/>
        <v>SKM</v>
      </c>
      <c r="C8" s="13" t="str">
        <f>VLOOKUP(A8, 'Status Sheet'!$A$9:$J$60,3)</f>
        <v>SCOLA, Mr Francis / Ms Victoria</v>
      </c>
      <c r="D8" s="15">
        <f>IF(Departures!L9 = 0, "12:00",Departures!L9)</f>
        <v>0.22916666666666666</v>
      </c>
      <c r="E8" s="16" t="str">
        <f>Departures!J9</f>
        <v>DL2846</v>
      </c>
      <c r="F8" s="15">
        <f>IF(NOT(Departures!N9), "TBA",Departures!N9)</f>
        <v>0.29166666666666669</v>
      </c>
      <c r="G8" s="16" t="str">
        <f>VLOOKUP(A8, 'Status Sheet'!$A$9:$J$60,9)</f>
        <v>COMP</v>
      </c>
      <c r="H8" s="174" t="str">
        <f>IF(Departures!H9 = "O", "OWN", " ")</f>
        <v xml:space="preserve"> </v>
      </c>
      <c r="I8" s="212"/>
      <c r="J8" s="186">
        <f>Arrivals!B9</f>
        <v>1</v>
      </c>
      <c r="K8" s="63" t="str">
        <f t="shared" si="1"/>
        <v>EGT</v>
      </c>
      <c r="L8" s="61" t="str">
        <f>UPPER(LEFT(Arrivals!D9,FIND(",",Arrivals!D9)))</f>
        <v>COBB,</v>
      </c>
      <c r="M8" s="60" t="str">
        <f>IF(Arrivals!H9 = "R", "AMAN($)", "OWN")</f>
        <v>OWN</v>
      </c>
      <c r="N8" s="29">
        <f>Arrivals!J9</f>
        <v>0</v>
      </c>
      <c r="O8" s="172" t="str">
        <f>IF(Arrivals!L9, Arrivals!L9, "TBA")</f>
        <v>TBA</v>
      </c>
      <c r="Q8" s="216"/>
      <c r="R8" s="212"/>
      <c r="S8" s="186"/>
      <c r="T8" s="63"/>
      <c r="U8" s="61"/>
      <c r="V8" s="60"/>
      <c r="W8" s="29"/>
      <c r="X8" s="60"/>
      <c r="Y8" s="29"/>
      <c r="Z8" s="30"/>
    </row>
    <row r="9" spans="1:57" s="19" customFormat="1" ht="25.05" customHeight="1" x14ac:dyDescent="0.3">
      <c r="A9" s="119">
        <f>Departures!B11</f>
        <v>27</v>
      </c>
      <c r="B9" s="14" t="str">
        <f t="shared" si="0"/>
        <v>EGV</v>
      </c>
      <c r="C9" s="13" t="str">
        <f>VLOOKUP(A9, 'Status Sheet'!$A$9:$J$60,3)</f>
        <v>HAO, Mr Ziyang / GUEST</v>
      </c>
      <c r="D9" s="15">
        <f>IF(Departures!L11 = 0, "12:00",Departures!L11)</f>
        <v>0.54166666666666663</v>
      </c>
      <c r="E9" s="16" t="str">
        <f>Departures!J11</f>
        <v>AS3316</v>
      </c>
      <c r="F9" s="15">
        <f>IF(NOT(Departures!N11), "TBA",Departures!N11)</f>
        <v>0.62152777777777779</v>
      </c>
      <c r="G9" s="16" t="str">
        <f>VLOOKUP(A9, 'Status Sheet'!$A$9:$J$60,9)</f>
        <v>FHR</v>
      </c>
      <c r="H9" s="174" t="str">
        <f>IF(Departures!H11 = "O", "OWN", " ")</f>
        <v xml:space="preserve"> </v>
      </c>
      <c r="I9" s="212"/>
      <c r="J9" s="186">
        <f>Arrivals!B11</f>
        <v>0</v>
      </c>
      <c r="K9" s="63" t="str">
        <f t="shared" si="1"/>
        <v>SKM</v>
      </c>
      <c r="L9" s="61" t="str">
        <f>UPPER(LEFT(Arrivals!D11,FIND(",",Arrivals!D11)))</f>
        <v>PIKUS,</v>
      </c>
      <c r="M9" s="60" t="str">
        <f>IF(Arrivals!H11 = "R", "AMAN($)", "OWN")</f>
        <v>OWN</v>
      </c>
      <c r="N9" s="29">
        <f>Arrivals!J11</f>
        <v>0</v>
      </c>
      <c r="O9" s="172" t="str">
        <f>IF(Arrivals!L11, Arrivals!L11, "TBA")</f>
        <v>TBA</v>
      </c>
      <c r="Q9" s="216"/>
      <c r="R9" s="212"/>
      <c r="S9" s="186"/>
      <c r="T9" s="63"/>
      <c r="U9" s="61"/>
      <c r="V9" s="60"/>
      <c r="W9" s="31"/>
      <c r="X9" s="67"/>
      <c r="Y9" s="29"/>
      <c r="Z9" s="30"/>
    </row>
    <row r="10" spans="1:57" s="19" customFormat="1" ht="25.05" customHeight="1" thickBot="1" x14ac:dyDescent="0.35">
      <c r="A10" s="119">
        <f>Departures!B13</f>
        <v>29</v>
      </c>
      <c r="B10" s="14" t="str">
        <f t="shared" si="0"/>
        <v>SKM</v>
      </c>
      <c r="C10" s="13" t="str">
        <f>VLOOKUP(A10, 'Status Sheet'!$A$9:$J$60,3)</f>
        <v>RIEDMAN, Mr James / GUEST</v>
      </c>
      <c r="D10" s="15" t="str">
        <f>IF(Departures!L13 = 0, "12:00",Departures!L13)</f>
        <v>12:00</v>
      </c>
      <c r="E10" s="16">
        <f>Departures!J13</f>
        <v>0</v>
      </c>
      <c r="F10" s="15" t="str">
        <f>IF(NOT(Departures!N13), "TBA",Departures!N13)</f>
        <v>TBA</v>
      </c>
      <c r="G10" s="16">
        <f>VLOOKUP(A10, 'Status Sheet'!$A$9:$J$60,9)</f>
        <v>0</v>
      </c>
      <c r="H10" s="174" t="str">
        <f>IF(Departures!H13 = "O", "OWN", " ")</f>
        <v xml:space="preserve"> </v>
      </c>
      <c r="I10" s="212"/>
      <c r="J10" s="186">
        <f>Arrivals!B13</f>
        <v>5</v>
      </c>
      <c r="K10" s="63" t="str">
        <f t="shared" si="1"/>
        <v>SKM</v>
      </c>
      <c r="L10" s="61" t="str">
        <f>UPPER(LEFT(Arrivals!D13,FIND(",",Arrivals!D13)))</f>
        <v>KLINE,</v>
      </c>
      <c r="M10" s="60" t="str">
        <f>IF(Arrivals!H13 = "R", "AMAN($)", "OWN")</f>
        <v>OWN</v>
      </c>
      <c r="N10" s="29" t="str">
        <f>Arrivals!J13</f>
        <v>own</v>
      </c>
      <c r="O10" s="172" t="str">
        <f>IF(Arrivals!L13, Arrivals!L13, "TBA")</f>
        <v>TBA</v>
      </c>
      <c r="Q10" s="216"/>
      <c r="R10" s="212"/>
      <c r="S10" s="186"/>
      <c r="T10" s="63"/>
      <c r="U10" s="61"/>
      <c r="V10" s="60"/>
      <c r="W10" s="31"/>
      <c r="X10" s="67"/>
      <c r="Y10" s="29"/>
      <c r="Z10" s="30"/>
    </row>
    <row r="11" spans="1:57" s="19" customFormat="1" ht="25.05" customHeight="1" x14ac:dyDescent="0.3">
      <c r="A11" s="119">
        <f>Departures!B15</f>
        <v>6</v>
      </c>
      <c r="B11" s="14" t="str">
        <f t="shared" si="0"/>
        <v>SKM</v>
      </c>
      <c r="C11" s="13" t="str">
        <f>VLOOKUP(A11, 'Status Sheet'!$A$9:$J$60,3)</f>
        <v>LUMPKIN, Mr Charles / Mrs Angelika</v>
      </c>
      <c r="D11" s="15">
        <f>IF(Departures!L15 = 0, "12:00",Departures!L15)</f>
        <v>0.5</v>
      </c>
      <c r="E11" s="16" t="str">
        <f>Departures!J15</f>
        <v>OWN</v>
      </c>
      <c r="F11" s="15" t="str">
        <f>IF(NOT(Departures!N15), "TBA",Departures!N15)</f>
        <v>TBA</v>
      </c>
      <c r="G11" s="16" t="str">
        <f>VLOOKUP(A11, 'Status Sheet'!$A$9:$J$60,9)</f>
        <v>UNDI</v>
      </c>
      <c r="H11" s="174" t="str">
        <f>IF(Departures!H15 = "O", "OWN", " ")</f>
        <v>OWN</v>
      </c>
      <c r="I11" s="212"/>
      <c r="J11" s="186">
        <f>Arrivals!B15</f>
        <v>0</v>
      </c>
      <c r="K11" s="63" t="str">
        <f t="shared" si="1"/>
        <v>SKM</v>
      </c>
      <c r="L11" s="61" t="e">
        <f>UPPER(LEFT(Arrivals!D15,FIND(",",Arrivals!D15)))</f>
        <v>#VALUE!</v>
      </c>
      <c r="M11" s="60" t="str">
        <f>IF(Arrivals!H15 = "R", "AMAN($)", "OWN")</f>
        <v>OWN</v>
      </c>
      <c r="N11" s="29">
        <f>Arrivals!J15</f>
        <v>0</v>
      </c>
      <c r="O11" s="172" t="str">
        <f>IF(Arrivals!L15, Arrivals!L15, "TBA")</f>
        <v>TBA</v>
      </c>
      <c r="Q11" s="216"/>
      <c r="R11" s="223"/>
      <c r="S11" s="186"/>
      <c r="T11" s="63"/>
      <c r="U11" s="61"/>
      <c r="V11" s="60"/>
      <c r="W11" s="31"/>
      <c r="X11" s="67"/>
      <c r="Y11" s="29"/>
      <c r="Z11" s="30"/>
    </row>
    <row r="12" spans="1:57" s="19" customFormat="1" ht="26.4" customHeight="1" x14ac:dyDescent="0.3">
      <c r="A12" s="119">
        <f>Departures!B17</f>
        <v>0</v>
      </c>
      <c r="B12" s="14" t="str">
        <f t="shared" si="0"/>
        <v>SKM</v>
      </c>
      <c r="C12" s="13" t="e">
        <f>VLOOKUP(A12, 'Status Sheet'!$A$10:$J$60,3)</f>
        <v>#N/A</v>
      </c>
      <c r="D12" s="15" t="str">
        <f>IF(Departures!L17 = 0, "12:00",Departures!L17)</f>
        <v>12:00</v>
      </c>
      <c r="E12" s="16">
        <f>Departures!J17</f>
        <v>0</v>
      </c>
      <c r="F12" s="15" t="str">
        <f>IF(NOT(Departures!N17), "TBA",Departures!N17)</f>
        <v>TBA</v>
      </c>
      <c r="G12" s="16" t="e">
        <f>VLOOKUP(A12, 'Status Sheet'!$A$9:$J$60,9)</f>
        <v>#N/A</v>
      </c>
      <c r="H12" s="174" t="str">
        <f>IF(Departures!H17 = "O", "OWN", " ")</f>
        <v xml:space="preserve"> </v>
      </c>
      <c r="I12" s="212"/>
      <c r="J12" s="186">
        <f>Arrivals!B17</f>
        <v>0</v>
      </c>
      <c r="K12" s="63" t="str">
        <f t="shared" si="1"/>
        <v>SKM</v>
      </c>
      <c r="L12" s="61" t="e">
        <f>UPPER(LEFT(Arrivals!D17,FIND(",",Arrivals!D17)))</f>
        <v>#VALUE!</v>
      </c>
      <c r="M12" s="60" t="str">
        <f>IF(Arrivals!H17 = "R", "AMAN($)", "OWN")</f>
        <v>OWN</v>
      </c>
      <c r="N12" s="29">
        <f>Arrivals!J17</f>
        <v>0</v>
      </c>
      <c r="O12" s="172" t="str">
        <f>IF(Arrivals!L17, Arrivals!L17, "TBA")</f>
        <v>TBA</v>
      </c>
      <c r="Q12" s="216"/>
      <c r="R12" s="212"/>
      <c r="S12" s="186"/>
      <c r="T12" s="63"/>
      <c r="U12" s="61"/>
      <c r="V12" s="60"/>
      <c r="W12" s="31"/>
      <c r="X12" s="67"/>
      <c r="Y12" s="29"/>
      <c r="Z12" s="30"/>
    </row>
    <row r="13" spans="1:57" s="19" customFormat="1" ht="25.05" customHeight="1" x14ac:dyDescent="0.3">
      <c r="A13" s="119">
        <f>Departures!B19</f>
        <v>0</v>
      </c>
      <c r="B13" s="14" t="str">
        <f t="shared" si="0"/>
        <v>SKM</v>
      </c>
      <c r="C13" s="13" t="e">
        <f>VLOOKUP(A13, 'Status Sheet'!$A$10:$J$60,3)</f>
        <v>#N/A</v>
      </c>
      <c r="D13" s="15" t="str">
        <f>IF(Departures!L19 = 0, "12:00",Departures!L19)</f>
        <v>12:00</v>
      </c>
      <c r="E13" s="16">
        <f>Departures!J19</f>
        <v>0</v>
      </c>
      <c r="F13" s="15" t="str">
        <f>IF(NOT(Departures!N19), "TBA",Departures!N19)</f>
        <v>TBA</v>
      </c>
      <c r="G13" s="16" t="e">
        <f>VLOOKUP(A13, 'Status Sheet'!$A$9:$J$60,9)</f>
        <v>#N/A</v>
      </c>
      <c r="H13" s="174" t="str">
        <f>IF(Departures!H19 = "O", "OWN", " ")</f>
        <v xml:space="preserve"> </v>
      </c>
      <c r="I13" s="212"/>
      <c r="J13" s="186">
        <f>Arrivals!B19</f>
        <v>0</v>
      </c>
      <c r="K13" s="63" t="str">
        <f t="shared" si="1"/>
        <v>SKM</v>
      </c>
      <c r="L13" s="61" t="e">
        <f>UPPER(LEFT(Arrivals!D19,FIND(",",Arrivals!D19)))</f>
        <v>#VALUE!</v>
      </c>
      <c r="M13" s="60" t="str">
        <f>IF(Arrivals!H19 = "R", "AMAN($)", "OWN")</f>
        <v>OWN</v>
      </c>
      <c r="N13" s="29">
        <f>Arrivals!J19</f>
        <v>0</v>
      </c>
      <c r="O13" s="172" t="str">
        <f>IF(Arrivals!L19, Arrivals!L19, "TBA")</f>
        <v>TBA</v>
      </c>
      <c r="Q13" s="216"/>
      <c r="R13" s="212"/>
      <c r="S13" s="186"/>
      <c r="T13" s="63"/>
      <c r="U13" s="61"/>
      <c r="V13" s="60"/>
      <c r="W13" s="31"/>
      <c r="X13" s="67"/>
      <c r="Y13" s="29"/>
      <c r="Z13" s="30"/>
    </row>
    <row r="14" spans="1:57" s="19" customFormat="1" ht="25.05" customHeight="1" x14ac:dyDescent="0.3">
      <c r="A14" s="119">
        <f>Departures!B21</f>
        <v>0</v>
      </c>
      <c r="B14" s="14" t="str">
        <f t="shared" si="0"/>
        <v>SKM</v>
      </c>
      <c r="C14" s="13" t="e">
        <f>VLOOKUP(A14, 'Status Sheet'!$A$10:$J$60,3)</f>
        <v>#N/A</v>
      </c>
      <c r="D14" s="15" t="str">
        <f>IF(Departures!L21 = 0, "12:00",Departures!L21)</f>
        <v>12:00</v>
      </c>
      <c r="E14" s="16">
        <f>Departures!J21</f>
        <v>0</v>
      </c>
      <c r="F14" s="15" t="str">
        <f>IF(NOT(Departures!N21), "TBA",Departures!N21)</f>
        <v>TBA</v>
      </c>
      <c r="G14" s="16" t="e">
        <f>VLOOKUP(A14, 'Status Sheet'!$A$9:$J$60,9)</f>
        <v>#N/A</v>
      </c>
      <c r="H14" s="174" t="str">
        <f>IF(Departures!H21 = "O", "OWN", " ")</f>
        <v xml:space="preserve"> </v>
      </c>
      <c r="I14" s="212"/>
      <c r="J14" s="186">
        <f>Arrivals!B21</f>
        <v>0</v>
      </c>
      <c r="K14" s="63" t="str">
        <f t="shared" si="1"/>
        <v>SKM</v>
      </c>
      <c r="L14" s="61" t="e">
        <f>UPPER(LEFT(Arrivals!D21,FIND(",",Arrivals!D21)))</f>
        <v>#VALUE!</v>
      </c>
      <c r="M14" s="60" t="str">
        <f>IF(Arrivals!H21 = "R", "AMAN($)", "OWN")</f>
        <v>OWN</v>
      </c>
      <c r="N14" s="29">
        <f>Arrivals!J21</f>
        <v>0</v>
      </c>
      <c r="O14" s="172" t="str">
        <f>IF(Arrivals!L21, Arrivals!L21, "TBA")</f>
        <v>TBA</v>
      </c>
      <c r="Q14" s="216"/>
      <c r="R14" s="212"/>
      <c r="S14" s="186"/>
      <c r="T14" s="63"/>
      <c r="U14" s="61"/>
      <c r="V14" s="60"/>
      <c r="W14" s="31"/>
      <c r="X14" s="67"/>
      <c r="Y14" s="29"/>
      <c r="Z14" s="30"/>
    </row>
    <row r="15" spans="1:57" s="19" customFormat="1" ht="25.05" customHeight="1" x14ac:dyDescent="0.3">
      <c r="A15" s="119">
        <f>Departures!B23</f>
        <v>0</v>
      </c>
      <c r="B15" s="14" t="str">
        <f t="shared" si="0"/>
        <v>SKM</v>
      </c>
      <c r="C15" s="13" t="e">
        <f>VLOOKUP(A15, 'Status Sheet'!$A$10:$J$60,3)</f>
        <v>#N/A</v>
      </c>
      <c r="D15" s="15" t="str">
        <f>IF(Departures!L23 = 0, "12:00",Departures!L23)</f>
        <v>12:00</v>
      </c>
      <c r="E15" s="16">
        <f>Departures!J23</f>
        <v>0</v>
      </c>
      <c r="F15" s="15" t="str">
        <f>IF(NOT(Departures!N23), "TBA",Departures!N23)</f>
        <v>TBA</v>
      </c>
      <c r="G15" s="16" t="e">
        <f>VLOOKUP(A15, 'Status Sheet'!$A$9:$J$60,9)</f>
        <v>#N/A</v>
      </c>
      <c r="H15" s="174" t="str">
        <f>IF(Departures!H23 = "O", "OWN", " ")</f>
        <v xml:space="preserve"> </v>
      </c>
      <c r="I15" s="212"/>
      <c r="J15" s="186">
        <f>Arrivals!B23</f>
        <v>0</v>
      </c>
      <c r="K15" s="63" t="str">
        <f t="shared" si="1"/>
        <v>SKM</v>
      </c>
      <c r="L15" s="61" t="e">
        <f>UPPER(LEFT(Arrivals!D23,FIND(",",Arrivals!D23)))</f>
        <v>#VALUE!</v>
      </c>
      <c r="M15" s="60" t="str">
        <f>IF(Arrivals!H23 = "R", "AMAN($)", "OWN")</f>
        <v>OWN</v>
      </c>
      <c r="N15" s="29">
        <f>Arrivals!J23</f>
        <v>0</v>
      </c>
      <c r="O15" s="172" t="str">
        <f>IF(Arrivals!L23, Arrivals!L23, "TBA")</f>
        <v>TBA</v>
      </c>
      <c r="Q15" s="216"/>
      <c r="R15" s="212"/>
      <c r="S15" s="186"/>
      <c r="T15" s="63"/>
      <c r="U15" s="61"/>
      <c r="V15" s="60"/>
      <c r="W15" s="31"/>
      <c r="X15" s="67"/>
      <c r="Y15" s="29"/>
      <c r="Z15" s="30"/>
    </row>
    <row r="16" spans="1:57" s="19" customFormat="1" ht="25.05" customHeight="1" x14ac:dyDescent="0.3">
      <c r="A16" s="119">
        <f>Departures!B25</f>
        <v>0</v>
      </c>
      <c r="B16" s="14" t="str">
        <f t="shared" si="0"/>
        <v>SKM</v>
      </c>
      <c r="C16" s="13" t="e">
        <f>VLOOKUP(A16, 'Status Sheet'!$A$10:$J$60,3)</f>
        <v>#N/A</v>
      </c>
      <c r="D16" s="15" t="str">
        <f>IF(Departures!L25 = 0, "12:00",Departures!L25)</f>
        <v>12:00</v>
      </c>
      <c r="E16" s="16">
        <f>Departures!J25</f>
        <v>0</v>
      </c>
      <c r="F16" s="15" t="str">
        <f>IF(NOT(Departures!N25), "TBA",Departures!N25)</f>
        <v>TBA</v>
      </c>
      <c r="G16" s="16" t="e">
        <f>VLOOKUP(A16, 'Status Sheet'!$A$9:$J$60,9)</f>
        <v>#N/A</v>
      </c>
      <c r="H16" s="174" t="str">
        <f>IF(Departures!H25 = "O", "OWN", " ")</f>
        <v xml:space="preserve"> </v>
      </c>
      <c r="I16" s="212"/>
      <c r="J16" s="186">
        <f>Arrivals!B25</f>
        <v>0</v>
      </c>
      <c r="K16" s="63" t="str">
        <f t="shared" si="1"/>
        <v>SKM</v>
      </c>
      <c r="L16" s="61" t="e">
        <f>UPPER(LEFT(Arrivals!D25,FIND(",",Arrivals!D25)))</f>
        <v>#VALUE!</v>
      </c>
      <c r="M16" s="60" t="str">
        <f>IF(Arrivals!H25 = "R", "AMAN($)", "OWN")</f>
        <v>OWN</v>
      </c>
      <c r="N16" s="29">
        <f>Arrivals!J25</f>
        <v>0</v>
      </c>
      <c r="O16" s="172" t="str">
        <f>IF(Arrivals!L25, Arrivals!L25, "TBA")</f>
        <v>TBA</v>
      </c>
      <c r="Q16" s="216"/>
      <c r="R16" s="212"/>
      <c r="S16" s="186"/>
      <c r="T16" s="63"/>
      <c r="U16" s="61"/>
      <c r="V16" s="60"/>
      <c r="W16" s="31"/>
      <c r="X16" s="67"/>
      <c r="Y16" s="29"/>
      <c r="Z16" s="30"/>
    </row>
    <row r="17" spans="1:27" s="19" customFormat="1" ht="25.05" customHeight="1" x14ac:dyDescent="0.3">
      <c r="A17" s="119">
        <f>Departures!B27</f>
        <v>0</v>
      </c>
      <c r="B17" s="14" t="str">
        <f t="shared" si="0"/>
        <v>SKM</v>
      </c>
      <c r="C17" s="13" t="e">
        <f>VLOOKUP(A17, 'Status Sheet'!$A$10:$J$60,3)</f>
        <v>#N/A</v>
      </c>
      <c r="D17" s="15" t="str">
        <f>IF(Departures!L27 = 0, "12:00",Departures!L27)</f>
        <v>12:00</v>
      </c>
      <c r="E17" s="16">
        <f>Departures!J27</f>
        <v>0</v>
      </c>
      <c r="F17" s="15" t="str">
        <f>IF(NOT(Departures!N27), "TBA",Departures!N27)</f>
        <v>TBA</v>
      </c>
      <c r="G17" s="16" t="e">
        <f>VLOOKUP(A17, 'Status Sheet'!$A$9:$J$60,9)</f>
        <v>#N/A</v>
      </c>
      <c r="H17" s="174" t="str">
        <f>IF(Departures!H27 = "O", "OWN", " ")</f>
        <v xml:space="preserve"> </v>
      </c>
      <c r="I17" s="212"/>
      <c r="J17" s="186">
        <f>Arrivals!B27</f>
        <v>0</v>
      </c>
      <c r="K17" s="63" t="str">
        <f t="shared" si="1"/>
        <v>SKM</v>
      </c>
      <c r="L17" s="61" t="e">
        <f>UPPER(LEFT(Arrivals!D27,FIND(",",Arrivals!D27)))</f>
        <v>#VALUE!</v>
      </c>
      <c r="M17" s="60" t="str">
        <f>IF(Arrivals!H27 = "R", "AMAN($)", "OWN")</f>
        <v>OWN</v>
      </c>
      <c r="N17" s="29">
        <f>Arrivals!J27</f>
        <v>0</v>
      </c>
      <c r="O17" s="172" t="str">
        <f>IF(Arrivals!L27, Arrivals!L27, "TBA")</f>
        <v>TBA</v>
      </c>
      <c r="Q17" s="216"/>
      <c r="R17" s="212"/>
      <c r="S17" s="186"/>
      <c r="T17" s="63"/>
      <c r="U17" s="61"/>
      <c r="V17" s="60"/>
      <c r="W17" s="31"/>
      <c r="X17" s="67"/>
      <c r="Y17" s="29"/>
      <c r="Z17" s="30"/>
    </row>
    <row r="18" spans="1:27" s="19" customFormat="1" ht="25.05" customHeight="1" x14ac:dyDescent="0.3">
      <c r="A18" s="119">
        <f>Departures!B29</f>
        <v>0</v>
      </c>
      <c r="B18" s="14" t="str">
        <f t="shared" si="0"/>
        <v>SKM</v>
      </c>
      <c r="C18" s="13" t="e">
        <f>VLOOKUP(A18, 'Status Sheet'!$A$10:$J$60,3)</f>
        <v>#N/A</v>
      </c>
      <c r="D18" s="15" t="str">
        <f>IF(Departures!L29 = 0, "12:00",Departures!L29)</f>
        <v>12:00</v>
      </c>
      <c r="E18" s="16">
        <f>Departures!J29</f>
        <v>0</v>
      </c>
      <c r="F18" s="15" t="str">
        <f>IF(NOT(Departures!N29), "TBA",Departures!N29)</f>
        <v>TBA</v>
      </c>
      <c r="G18" s="16" t="e">
        <f>VLOOKUP(A18, 'Status Sheet'!$A$9:$J$60,9)</f>
        <v>#N/A</v>
      </c>
      <c r="H18" s="174" t="str">
        <f>IF(Departures!H29 = "O", "OWN", " ")</f>
        <v xml:space="preserve"> </v>
      </c>
      <c r="I18" s="212"/>
      <c r="J18" s="186">
        <f>Arrivals!B29</f>
        <v>0</v>
      </c>
      <c r="K18" s="63" t="str">
        <f t="shared" si="1"/>
        <v>SKM</v>
      </c>
      <c r="L18" s="61" t="e">
        <f>UPPER(LEFT(Arrivals!D29,FIND(",",Arrivals!D29)))</f>
        <v>#VALUE!</v>
      </c>
      <c r="M18" s="60" t="str">
        <f>IF(Arrivals!H29 = "R", "AMAN($)", "OWN")</f>
        <v>OWN</v>
      </c>
      <c r="N18" s="29">
        <f>Arrivals!J29</f>
        <v>0</v>
      </c>
      <c r="O18" s="172" t="str">
        <f>IF(Arrivals!L29, Arrivals!L29, "TBA")</f>
        <v>TBA</v>
      </c>
      <c r="Q18" s="216"/>
      <c r="R18" s="212"/>
      <c r="S18" s="186"/>
      <c r="T18" s="63"/>
      <c r="U18" s="61"/>
      <c r="V18" s="60"/>
      <c r="W18" s="31"/>
      <c r="X18" s="67"/>
      <c r="Y18" s="29"/>
      <c r="Z18" s="30"/>
    </row>
    <row r="19" spans="1:27" s="19" customFormat="1" ht="25.05" customHeight="1" x14ac:dyDescent="0.3">
      <c r="A19" s="119">
        <f>Departures!B31</f>
        <v>0</v>
      </c>
      <c r="B19" s="14" t="str">
        <f t="shared" si="0"/>
        <v>SKM</v>
      </c>
      <c r="C19" s="13" t="e">
        <f>VLOOKUP(A19, 'Status Sheet'!$A$10:$J$60,3)</f>
        <v>#N/A</v>
      </c>
      <c r="D19" s="15" t="str">
        <f>IF(Departures!L31 = 0, "12:00",Departures!L31)</f>
        <v>12:00</v>
      </c>
      <c r="E19" s="16">
        <f>Departures!J31</f>
        <v>0</v>
      </c>
      <c r="F19" s="15" t="str">
        <f>IF(NOT(Departures!N31), "TBA",Departures!N31)</f>
        <v>TBA</v>
      </c>
      <c r="G19" s="16" t="e">
        <f>VLOOKUP(A19, 'Status Sheet'!$A$9:$J$60,9)</f>
        <v>#N/A</v>
      </c>
      <c r="H19" s="174" t="str">
        <f>IF(Departures!H31 = "O", "OWN", " ")</f>
        <v xml:space="preserve"> </v>
      </c>
      <c r="I19" s="212"/>
      <c r="J19" s="186">
        <f>Arrivals!B31</f>
        <v>0</v>
      </c>
      <c r="K19" s="63" t="str">
        <f t="shared" si="1"/>
        <v>SKM</v>
      </c>
      <c r="L19" s="61" t="e">
        <f>UPPER(LEFT(Arrivals!D31,FIND(",",Arrivals!D31)))</f>
        <v>#VALUE!</v>
      </c>
      <c r="M19" s="60" t="str">
        <f>IF(Arrivals!H31 = "R", "AMAN($)", "OWN")</f>
        <v>OWN</v>
      </c>
      <c r="N19" s="29">
        <f>Arrivals!J31</f>
        <v>0</v>
      </c>
      <c r="O19" s="172" t="str">
        <f>IF(Arrivals!L31, Arrivals!L31, "TBA")</f>
        <v>TBA</v>
      </c>
      <c r="Q19" s="217"/>
      <c r="R19" s="212"/>
      <c r="S19" s="186"/>
      <c r="T19" s="63"/>
      <c r="U19" s="61"/>
      <c r="V19" s="60"/>
      <c r="W19" s="29"/>
      <c r="X19" s="60"/>
      <c r="Y19" s="29"/>
      <c r="Z19" s="28"/>
    </row>
    <row r="20" spans="1:27" s="19" customFormat="1" ht="25.05" customHeight="1" x14ac:dyDescent="0.3">
      <c r="A20" s="119">
        <f>Departures!B33</f>
        <v>0</v>
      </c>
      <c r="B20" s="14" t="str">
        <f t="shared" si="0"/>
        <v>SKM</v>
      </c>
      <c r="C20" s="13" t="e">
        <f>VLOOKUP(A20, 'Status Sheet'!$A$10:$J$60,3)</f>
        <v>#N/A</v>
      </c>
      <c r="D20" s="15" t="str">
        <f>IF(Departures!L33 = 0, "12:00",Departures!L33)</f>
        <v>12:00</v>
      </c>
      <c r="E20" s="16">
        <f>Departures!J33</f>
        <v>0</v>
      </c>
      <c r="F20" s="15" t="str">
        <f>IF(NOT(Departures!N33), "TBA",Departures!N33)</f>
        <v>TBA</v>
      </c>
      <c r="G20" s="16" t="e">
        <f>VLOOKUP(A20, 'Status Sheet'!$A$9:$J$60,9)</f>
        <v>#N/A</v>
      </c>
      <c r="H20" s="174" t="str">
        <f>IF(Departures!H33 = "O", "OWN", " ")</f>
        <v xml:space="preserve"> </v>
      </c>
      <c r="I20" s="212"/>
      <c r="J20" s="186">
        <f>Arrivals!B33</f>
        <v>0</v>
      </c>
      <c r="K20" s="63" t="str">
        <f t="shared" si="1"/>
        <v>SKM</v>
      </c>
      <c r="L20" s="61" t="e">
        <f>UPPER(LEFT(Arrivals!D33,FIND(",",Arrivals!D33)))</f>
        <v>#VALUE!</v>
      </c>
      <c r="M20" s="60" t="str">
        <f>IF(Arrivals!H33 = "R", "AMAN($)", "OWN")</f>
        <v>OWN</v>
      </c>
      <c r="N20" s="29">
        <f>Arrivals!J33</f>
        <v>0</v>
      </c>
      <c r="O20" s="172" t="str">
        <f>IF(Arrivals!L33, Arrivals!L33, "TBA")</f>
        <v>TBA</v>
      </c>
      <c r="Q20" s="216"/>
      <c r="R20" s="212"/>
      <c r="S20" s="186"/>
      <c r="T20" s="63"/>
      <c r="U20" s="61"/>
      <c r="V20" s="60"/>
      <c r="W20" s="60"/>
      <c r="X20" s="60"/>
      <c r="Y20" s="31"/>
      <c r="Z20" s="30"/>
    </row>
    <row r="21" spans="1:27" s="19" customFormat="1" ht="25.05" customHeight="1" x14ac:dyDescent="0.3">
      <c r="A21" s="119">
        <f>Departures!B35</f>
        <v>0</v>
      </c>
      <c r="B21" s="14" t="str">
        <f t="shared" si="0"/>
        <v>SKM</v>
      </c>
      <c r="C21" s="13" t="e">
        <f>VLOOKUP(A21, 'Status Sheet'!$A$10:$J$60,3)</f>
        <v>#N/A</v>
      </c>
      <c r="D21" s="15" t="str">
        <f>IF(Departures!L35 = 0, "12:00",Departures!L35)</f>
        <v>12:00</v>
      </c>
      <c r="E21" s="16">
        <f>Departures!J35</f>
        <v>0</v>
      </c>
      <c r="F21" s="15" t="str">
        <f>IF(NOT(Departures!N35), "TBA",Departures!N35)</f>
        <v>TBA</v>
      </c>
      <c r="G21" s="16" t="e">
        <f>VLOOKUP(A21, 'Status Sheet'!$A$9:$J$60,9)</f>
        <v>#N/A</v>
      </c>
      <c r="H21" s="174" t="str">
        <f>IF(Departures!H35 = "O", "OWN", " ")</f>
        <v xml:space="preserve"> </v>
      </c>
      <c r="I21" s="212"/>
      <c r="J21" s="186">
        <f>Arrivals!B35</f>
        <v>0</v>
      </c>
      <c r="K21" s="63" t="str">
        <f t="shared" si="1"/>
        <v>SKM</v>
      </c>
      <c r="L21" s="61" t="e">
        <f>UPPER(LEFT(Arrivals!D35,FIND(",",Arrivals!D35)))</f>
        <v>#VALUE!</v>
      </c>
      <c r="M21" s="60" t="str">
        <f>IF(Arrivals!H35 = "R", "AMAN($)", "OWN")</f>
        <v>OWN</v>
      </c>
      <c r="N21" s="29">
        <f>Arrivals!J35</f>
        <v>0</v>
      </c>
      <c r="O21" s="172" t="str">
        <f>IF(Arrivals!L35, Arrivals!L35, "TBA")</f>
        <v>TBA</v>
      </c>
      <c r="Q21" s="216"/>
      <c r="R21" s="212"/>
      <c r="S21" s="186"/>
      <c r="T21" s="63"/>
      <c r="U21" s="61"/>
      <c r="V21" s="60"/>
      <c r="W21" s="60"/>
      <c r="X21" s="60"/>
      <c r="Y21" s="31"/>
      <c r="Z21" s="30"/>
    </row>
    <row r="22" spans="1:27" s="19" customFormat="1" ht="25.05" customHeight="1" x14ac:dyDescent="0.3">
      <c r="A22" s="119">
        <f>Departures!B37</f>
        <v>0</v>
      </c>
      <c r="B22" s="14" t="str">
        <f t="shared" si="0"/>
        <v>SKM</v>
      </c>
      <c r="C22" s="13" t="e">
        <f>VLOOKUP(A22, 'Status Sheet'!$A$10:$J$60,3)</f>
        <v>#N/A</v>
      </c>
      <c r="D22" s="15" t="str">
        <f>IF(Departures!L37 = 0, "12:00",Departures!L37)</f>
        <v>12:00</v>
      </c>
      <c r="E22" s="16">
        <f>Departures!J37</f>
        <v>0</v>
      </c>
      <c r="F22" s="15" t="str">
        <f>IF(NOT(Departures!N37), "TBA",Departures!N37)</f>
        <v>TBA</v>
      </c>
      <c r="G22" s="16" t="e">
        <f>VLOOKUP(A22, 'Status Sheet'!$A$9:$J$60,9)</f>
        <v>#N/A</v>
      </c>
      <c r="H22" s="174" t="str">
        <f>IF(Departures!H37 = "O", "OWN", " ")</f>
        <v xml:space="preserve"> </v>
      </c>
      <c r="I22" s="212"/>
      <c r="J22" s="186">
        <f>Arrivals!B37</f>
        <v>0</v>
      </c>
      <c r="K22" s="63" t="str">
        <f t="shared" si="1"/>
        <v>SKM</v>
      </c>
      <c r="L22" s="61" t="e">
        <f>UPPER(LEFT(Arrivals!D37,FIND(",",Arrivals!D37)))</f>
        <v>#VALUE!</v>
      </c>
      <c r="M22" s="60" t="str">
        <f>IF(Arrivals!H37 = "R", "AMAN($)", "OWN")</f>
        <v>OWN</v>
      </c>
      <c r="N22" s="29">
        <f>Arrivals!J37</f>
        <v>0</v>
      </c>
      <c r="O22" s="172" t="str">
        <f>IF(Arrivals!L37, Arrivals!L37, "TBA")</f>
        <v>TBA</v>
      </c>
      <c r="Q22" s="216"/>
      <c r="R22" s="212"/>
      <c r="S22" s="186"/>
      <c r="T22" s="63"/>
      <c r="U22" s="61"/>
      <c r="V22" s="60"/>
      <c r="W22" s="31"/>
      <c r="X22" s="66"/>
      <c r="Y22" s="29"/>
      <c r="Z22" s="30"/>
    </row>
    <row r="23" spans="1:27" s="19" customFormat="1" ht="25.05" customHeight="1" x14ac:dyDescent="0.3">
      <c r="A23" s="119">
        <f>Departures!B39</f>
        <v>0</v>
      </c>
      <c r="B23" s="14" t="str">
        <f t="shared" si="0"/>
        <v>SKM</v>
      </c>
      <c r="C23" s="13" t="e">
        <f>VLOOKUP(A23, 'Status Sheet'!$A$10:$J$60,3)</f>
        <v>#N/A</v>
      </c>
      <c r="D23" s="15" t="str">
        <f>IF(Departures!L39 = 0, "12:00",Departures!L39)</f>
        <v>12:00</v>
      </c>
      <c r="E23" s="16">
        <f>Departures!J39</f>
        <v>0</v>
      </c>
      <c r="F23" s="15" t="str">
        <f>IF(NOT(Departures!N39), "TBA",Departures!N39)</f>
        <v>TBA</v>
      </c>
      <c r="G23" s="16" t="e">
        <f>VLOOKUP(A23, 'Status Sheet'!$A$9:$J$60,9)</f>
        <v>#N/A</v>
      </c>
      <c r="H23" s="174" t="str">
        <f>IF(Departures!H39 = "O", "OWN", " ")</f>
        <v xml:space="preserve"> </v>
      </c>
      <c r="I23" s="212"/>
      <c r="J23" s="186">
        <f>Arrivals!B39</f>
        <v>0</v>
      </c>
      <c r="K23" s="63" t="str">
        <f t="shared" si="1"/>
        <v>SKM</v>
      </c>
      <c r="L23" s="61" t="e">
        <f>UPPER(LEFT(Arrivals!D39,FIND(",",Arrivals!D39)))</f>
        <v>#VALUE!</v>
      </c>
      <c r="M23" s="60" t="str">
        <f>IF(Arrivals!H39 = "R", "AMAN($)", "OWN")</f>
        <v>OWN</v>
      </c>
      <c r="N23" s="29">
        <f>Arrivals!J39</f>
        <v>0</v>
      </c>
      <c r="O23" s="172" t="str">
        <f>IF(Arrivals!L39, Arrivals!L39, "TBA")</f>
        <v>TBA</v>
      </c>
      <c r="Q23" s="216"/>
      <c r="R23" s="212"/>
      <c r="S23" s="186"/>
      <c r="T23" s="63"/>
      <c r="U23" s="61"/>
      <c r="V23" s="60"/>
      <c r="W23" s="31"/>
      <c r="X23" s="66"/>
      <c r="Y23" s="29"/>
      <c r="Z23" s="30"/>
    </row>
    <row r="24" spans="1:27" s="19" customFormat="1" ht="25.05" customHeight="1" x14ac:dyDescent="0.3">
      <c r="A24" s="119">
        <f>Departures!B41</f>
        <v>0</v>
      </c>
      <c r="B24" s="14" t="str">
        <f t="shared" si="0"/>
        <v>SKM</v>
      </c>
      <c r="C24" s="13" t="e">
        <f>VLOOKUP(A24, 'Status Sheet'!$A$10:$J$60,3)</f>
        <v>#N/A</v>
      </c>
      <c r="D24" s="15" t="str">
        <f>IF(Departures!L41 = 0, "12:00",Departures!L41)</f>
        <v>12:00</v>
      </c>
      <c r="E24" s="16">
        <f>Departures!J41</f>
        <v>0</v>
      </c>
      <c r="F24" s="15" t="str">
        <f>IF(NOT(Departures!N41), "TBA",Departures!N41)</f>
        <v>TBA</v>
      </c>
      <c r="G24" s="16" t="e">
        <f>VLOOKUP(A24, 'Status Sheet'!$A$9:$J$60,9)</f>
        <v>#N/A</v>
      </c>
      <c r="H24" s="174" t="str">
        <f>IF(Departures!H41 = "O", "OWN", " ")</f>
        <v xml:space="preserve"> </v>
      </c>
      <c r="I24" s="212"/>
      <c r="J24" s="186">
        <f>Arrivals!B41</f>
        <v>0</v>
      </c>
      <c r="K24" s="63" t="str">
        <f t="shared" si="1"/>
        <v>SKM</v>
      </c>
      <c r="L24" s="61" t="e">
        <f>UPPER(LEFT(Arrivals!D41,FIND(",",Arrivals!D41)))</f>
        <v>#VALUE!</v>
      </c>
      <c r="M24" s="60" t="str">
        <f>IF(Arrivals!H41 = "R", "AMAN($)", "OWN")</f>
        <v>OWN</v>
      </c>
      <c r="N24" s="29">
        <f>Arrivals!J41</f>
        <v>0</v>
      </c>
      <c r="O24" s="172" t="str">
        <f>IF(Arrivals!L41, Arrivals!L41, "TBA")</f>
        <v>TBA</v>
      </c>
      <c r="Q24" s="216"/>
      <c r="R24" s="212"/>
      <c r="S24" s="186"/>
      <c r="T24" s="63"/>
      <c r="U24" s="61"/>
      <c r="V24" s="60"/>
      <c r="W24" s="31"/>
      <c r="X24" s="66"/>
      <c r="Y24" s="29"/>
      <c r="Z24" s="30"/>
    </row>
    <row r="25" spans="1:27" s="19" customFormat="1" ht="25.05" customHeight="1" x14ac:dyDescent="0.3">
      <c r="A25" s="20"/>
      <c r="B25" s="16"/>
      <c r="C25" s="17"/>
      <c r="D25" s="15"/>
      <c r="E25" s="273"/>
      <c r="F25" s="274"/>
      <c r="G25" s="275"/>
      <c r="H25" s="174"/>
      <c r="I25" s="212"/>
      <c r="J25" s="187"/>
      <c r="K25" s="29"/>
      <c r="L25" s="30"/>
      <c r="N25" s="60"/>
      <c r="O25" s="60"/>
      <c r="P25" s="31"/>
      <c r="Q25" s="216"/>
      <c r="R25" s="212"/>
      <c r="S25" s="186"/>
      <c r="T25" s="63"/>
      <c r="U25" s="61"/>
      <c r="V25" s="221"/>
      <c r="W25" s="221"/>
      <c r="X25" s="221"/>
      <c r="Y25" s="63"/>
      <c r="Z25" s="61"/>
      <c r="AA25" s="18"/>
    </row>
    <row r="26" spans="1:27" s="25" customFormat="1" ht="25.8" customHeight="1" x14ac:dyDescent="0.3">
      <c r="A26" s="266"/>
      <c r="B26" s="267"/>
      <c r="C26" s="268"/>
      <c r="D26" s="269"/>
      <c r="E26" s="276"/>
      <c r="F26" s="277"/>
      <c r="G26" s="267"/>
      <c r="H26" s="270"/>
      <c r="I26" s="202"/>
      <c r="J26" s="21"/>
      <c r="K26" s="22"/>
      <c r="L26" s="23"/>
      <c r="M26" s="24"/>
      <c r="N26" s="22"/>
      <c r="O26" s="24"/>
      <c r="P26" s="22"/>
      <c r="Q26" s="21"/>
      <c r="R26" s="202"/>
      <c r="S26" s="186"/>
      <c r="T26" s="63"/>
      <c r="U26" s="61"/>
      <c r="V26" s="222"/>
      <c r="W26" s="137"/>
      <c r="X26" s="222"/>
      <c r="Y26" s="137"/>
      <c r="Z26" s="122"/>
    </row>
    <row r="27" spans="1:27" s="68" customFormat="1" x14ac:dyDescent="0.3">
      <c r="A27" s="271"/>
      <c r="B27" s="271"/>
      <c r="C27" s="271"/>
      <c r="D27" s="271"/>
      <c r="E27" s="271"/>
      <c r="F27" s="271"/>
      <c r="G27" s="271"/>
      <c r="H27" s="272"/>
      <c r="I27" s="203"/>
      <c r="R27" s="203"/>
      <c r="S27" s="186"/>
      <c r="T27" s="63"/>
      <c r="U27" s="61"/>
      <c r="V27" s="70"/>
      <c r="W27" s="70"/>
      <c r="X27" s="70"/>
      <c r="Y27" s="70"/>
      <c r="Z27" s="70"/>
    </row>
    <row r="28" spans="1:27" s="70" customFormat="1" ht="30" customHeight="1" thickBot="1" x14ac:dyDescent="0.35">
      <c r="E28" s="27"/>
      <c r="F28" s="221"/>
      <c r="I28" s="264"/>
      <c r="J28" s="69"/>
      <c r="Q28" s="175"/>
      <c r="R28" s="224"/>
      <c r="S28" s="186"/>
      <c r="T28" s="63"/>
      <c r="U28" s="61"/>
    </row>
    <row r="29" spans="1:27" s="70" customFormat="1" ht="30" customHeight="1" x14ac:dyDescent="0.3">
      <c r="E29" s="265"/>
      <c r="I29" s="264"/>
      <c r="J29" s="69"/>
      <c r="Q29" s="175"/>
      <c r="R29" s="203"/>
      <c r="S29" s="186"/>
      <c r="T29" s="63"/>
      <c r="U29" s="61"/>
    </row>
    <row r="30" spans="1:27" s="70" customFormat="1" ht="30" customHeight="1" x14ac:dyDescent="0.3">
      <c r="E30" s="27"/>
      <c r="F30" s="221"/>
      <c r="I30" s="264"/>
      <c r="J30" s="69"/>
      <c r="Q30" s="175"/>
      <c r="R30" s="203"/>
      <c r="S30" s="186"/>
      <c r="T30" s="63"/>
      <c r="U30" s="61"/>
    </row>
    <row r="31" spans="1:27" s="70" customFormat="1" ht="30" customHeight="1" x14ac:dyDescent="0.3">
      <c r="E31" s="27"/>
      <c r="I31" s="264"/>
      <c r="J31" s="69"/>
      <c r="Q31" s="175"/>
      <c r="R31" s="203"/>
      <c r="S31" s="186"/>
      <c r="T31" s="63"/>
      <c r="U31" s="61"/>
    </row>
    <row r="32" spans="1:27" s="70" customFormat="1" ht="30" customHeight="1" x14ac:dyDescent="0.3">
      <c r="E32" s="265"/>
      <c r="F32" s="221"/>
      <c r="I32" s="264"/>
      <c r="J32" s="69"/>
      <c r="Q32" s="175"/>
      <c r="R32" s="203"/>
      <c r="S32" s="186"/>
      <c r="T32" s="63"/>
      <c r="U32" s="61"/>
    </row>
    <row r="33" spans="2:26" s="70" customFormat="1" ht="30" customHeight="1" x14ac:dyDescent="0.3">
      <c r="E33" s="27"/>
      <c r="I33" s="264"/>
      <c r="J33" s="69"/>
      <c r="Q33" s="175"/>
      <c r="R33" s="203"/>
      <c r="S33" s="186"/>
      <c r="T33" s="63"/>
      <c r="U33" s="61"/>
    </row>
    <row r="34" spans="2:26" s="70" customFormat="1" ht="30" customHeight="1" x14ac:dyDescent="0.3">
      <c r="E34" s="27"/>
      <c r="F34" s="221"/>
      <c r="I34" s="264"/>
      <c r="J34" s="69"/>
      <c r="Q34" s="175"/>
      <c r="R34" s="203"/>
      <c r="S34" s="186"/>
      <c r="T34" s="63"/>
      <c r="U34" s="61"/>
    </row>
    <row r="35" spans="2:26" s="70" customFormat="1" ht="30" customHeight="1" x14ac:dyDescent="0.3">
      <c r="E35" s="265"/>
      <c r="I35" s="264"/>
      <c r="J35" s="69"/>
      <c r="Q35" s="175"/>
      <c r="R35" s="203"/>
      <c r="S35" s="186"/>
      <c r="T35" s="63"/>
      <c r="U35" s="61"/>
    </row>
    <row r="36" spans="2:26" s="70" customFormat="1" ht="30" customHeight="1" x14ac:dyDescent="0.3">
      <c r="E36" s="27"/>
      <c r="F36" s="221"/>
      <c r="I36" s="264"/>
      <c r="J36" s="69"/>
      <c r="Q36" s="175"/>
      <c r="R36" s="203"/>
      <c r="S36" s="186"/>
      <c r="T36" s="63"/>
      <c r="U36" s="61"/>
    </row>
    <row r="37" spans="2:26" s="70" customFormat="1" ht="30" customHeight="1" x14ac:dyDescent="0.3">
      <c r="E37" s="27"/>
      <c r="I37" s="264"/>
      <c r="J37" s="69"/>
      <c r="Q37" s="175"/>
      <c r="R37" s="203"/>
      <c r="S37" s="186"/>
      <c r="T37" s="63"/>
      <c r="U37" s="61"/>
    </row>
    <row r="38" spans="2:26" s="70" customFormat="1" ht="30" customHeight="1" x14ac:dyDescent="0.3">
      <c r="E38" s="265"/>
      <c r="F38" s="221"/>
      <c r="I38" s="264"/>
      <c r="J38" s="69"/>
      <c r="Q38" s="175"/>
      <c r="R38" s="203"/>
      <c r="S38" s="186"/>
      <c r="T38" s="63"/>
      <c r="U38" s="61"/>
    </row>
    <row r="39" spans="2:26" s="70" customFormat="1" ht="30" customHeight="1" x14ac:dyDescent="0.3">
      <c r="E39" s="27"/>
      <c r="I39" s="264"/>
      <c r="J39" s="69"/>
      <c r="Q39" s="175"/>
      <c r="R39" s="203"/>
      <c r="S39" s="186"/>
      <c r="T39" s="63"/>
      <c r="U39" s="61"/>
    </row>
    <row r="40" spans="2:26" s="70" customFormat="1" ht="30" customHeight="1" x14ac:dyDescent="0.3">
      <c r="E40" s="27"/>
      <c r="F40" s="221"/>
      <c r="I40" s="264"/>
      <c r="J40" s="69"/>
      <c r="Q40" s="175"/>
      <c r="R40" s="203"/>
      <c r="S40" s="186"/>
      <c r="T40" s="63"/>
      <c r="U40" s="61"/>
    </row>
    <row r="41" spans="2:26" s="70" customFormat="1" ht="30" customHeight="1" x14ac:dyDescent="0.3">
      <c r="E41" s="265"/>
      <c r="I41" s="264"/>
      <c r="J41" s="69"/>
      <c r="Q41" s="175"/>
      <c r="R41" s="203"/>
      <c r="S41" s="186"/>
      <c r="T41" s="63"/>
      <c r="U41" s="61"/>
    </row>
    <row r="42" spans="2:26" s="70" customFormat="1" ht="30" customHeight="1" x14ac:dyDescent="0.3">
      <c r="E42" s="27"/>
      <c r="I42" s="264"/>
      <c r="J42" s="69"/>
      <c r="Q42" s="175"/>
      <c r="R42" s="203"/>
      <c r="S42" s="186"/>
      <c r="T42" s="63"/>
      <c r="U42" s="61"/>
    </row>
    <row r="43" spans="2:26" s="70" customFormat="1" ht="30" customHeight="1" x14ac:dyDescent="0.3">
      <c r="E43" s="27"/>
      <c r="I43" s="264"/>
      <c r="J43" s="69"/>
      <c r="Q43" s="175"/>
      <c r="R43" s="203"/>
      <c r="S43" s="186"/>
      <c r="T43" s="63"/>
      <c r="U43" s="61"/>
    </row>
    <row r="44" spans="2:26" s="70" customFormat="1" ht="30" customHeight="1" x14ac:dyDescent="0.3">
      <c r="E44" s="265"/>
      <c r="I44" s="264"/>
      <c r="J44" s="69"/>
      <c r="Q44" s="175"/>
      <c r="R44" s="203"/>
      <c r="S44" s="186"/>
      <c r="T44" s="63"/>
      <c r="U44" s="61"/>
    </row>
    <row r="45" spans="2:26" s="70" customFormat="1" ht="30" customHeight="1" x14ac:dyDescent="0.3">
      <c r="E45" s="27"/>
      <c r="I45" s="264"/>
      <c r="J45" s="69"/>
      <c r="Q45" s="175"/>
      <c r="R45" s="203"/>
      <c r="S45" s="186"/>
      <c r="T45" s="63"/>
      <c r="U45" s="61"/>
    </row>
    <row r="46" spans="2:26" s="70" customFormat="1" ht="41.4" customHeight="1" x14ac:dyDescent="0.3">
      <c r="E46" s="29"/>
      <c r="H46" s="175"/>
      <c r="I46" s="203"/>
      <c r="J46" s="69"/>
      <c r="Q46" s="175"/>
      <c r="R46" s="203"/>
      <c r="S46" s="186"/>
      <c r="T46" s="63"/>
      <c r="U46" s="61"/>
    </row>
    <row r="47" spans="2:26" s="70" customFormat="1" ht="41.4" customHeight="1" x14ac:dyDescent="0.3">
      <c r="E47" s="171"/>
      <c r="H47" s="175"/>
      <c r="I47" s="203"/>
      <c r="J47" s="69"/>
      <c r="Q47" s="175"/>
      <c r="R47" s="235"/>
      <c r="S47" s="186"/>
      <c r="T47" s="63"/>
      <c r="U47" s="61"/>
      <c r="V47" s="69"/>
    </row>
    <row r="48" spans="2:26" s="70" customFormat="1" ht="25.05" customHeight="1" x14ac:dyDescent="0.3">
      <c r="B48" s="53"/>
      <c r="C48" s="58"/>
      <c r="D48" s="78"/>
      <c r="E48" s="29"/>
      <c r="F48" s="79"/>
      <c r="G48" s="71"/>
      <c r="H48" s="176"/>
      <c r="I48" s="203"/>
      <c r="J48" s="188"/>
      <c r="K48" s="53"/>
      <c r="L48" s="58"/>
      <c r="M48" s="78"/>
      <c r="N48" s="78"/>
      <c r="O48" s="79"/>
      <c r="P48" s="71"/>
      <c r="Q48" s="176"/>
      <c r="R48" s="235"/>
      <c r="S48" s="186"/>
      <c r="T48" s="63"/>
      <c r="U48" s="61"/>
      <c r="V48" s="239"/>
      <c r="W48" s="78"/>
      <c r="X48" s="79"/>
      <c r="Y48" s="71"/>
      <c r="Z48" s="58"/>
    </row>
    <row r="49" spans="1:26" s="32" customFormat="1" ht="34.950000000000003" customHeight="1" x14ac:dyDescent="0.3">
      <c r="A49" s="70"/>
      <c r="B49" s="81"/>
      <c r="C49" s="82"/>
      <c r="D49" s="83"/>
      <c r="E49" s="83"/>
      <c r="F49" s="83"/>
      <c r="G49" s="84"/>
      <c r="H49" s="85"/>
      <c r="I49" s="204"/>
      <c r="J49" s="80"/>
      <c r="K49" s="81"/>
      <c r="L49" s="82"/>
      <c r="M49" s="83"/>
      <c r="N49" s="83"/>
      <c r="O49" s="83"/>
      <c r="P49" s="84"/>
      <c r="Q49" s="85"/>
      <c r="R49" s="236"/>
      <c r="S49" s="186"/>
      <c r="T49" s="63"/>
      <c r="U49" s="61"/>
      <c r="V49" s="83"/>
      <c r="W49" s="83"/>
      <c r="X49" s="83"/>
      <c r="Y49" s="84"/>
      <c r="Z49" s="85"/>
    </row>
    <row r="50" spans="1:26" s="73" customFormat="1" ht="25.2" customHeight="1" x14ac:dyDescent="0.3">
      <c r="A50" s="34"/>
      <c r="B50" s="34"/>
      <c r="C50" s="72"/>
      <c r="D50" s="45"/>
      <c r="E50" s="48"/>
      <c r="F50" s="45"/>
      <c r="G50" s="45"/>
      <c r="H50" s="177"/>
      <c r="I50" s="204"/>
      <c r="J50" s="189"/>
      <c r="K50" s="34"/>
      <c r="L50" s="72"/>
      <c r="M50" s="45"/>
      <c r="N50" s="48"/>
      <c r="O50" s="45"/>
      <c r="P50" s="45"/>
      <c r="Q50" s="177"/>
      <c r="R50" s="236"/>
      <c r="S50" s="186"/>
      <c r="T50" s="63"/>
      <c r="U50" s="61"/>
      <c r="V50" s="240"/>
      <c r="W50" s="48"/>
      <c r="X50" s="45"/>
      <c r="Y50" s="45"/>
      <c r="Z50" s="48"/>
    </row>
    <row r="51" spans="1:26" s="86" customFormat="1" ht="21.75" customHeight="1" x14ac:dyDescent="0.3">
      <c r="A51" s="33"/>
      <c r="B51" s="34"/>
      <c r="C51" s="34"/>
      <c r="D51" s="35"/>
      <c r="E51" s="34"/>
      <c r="F51" s="36"/>
      <c r="G51" s="37"/>
      <c r="H51" s="178"/>
      <c r="I51" s="205"/>
      <c r="J51" s="190"/>
      <c r="K51" s="34"/>
      <c r="L51" s="34"/>
      <c r="M51" s="35"/>
      <c r="N51" s="34"/>
      <c r="O51" s="36"/>
      <c r="P51" s="37"/>
      <c r="Q51" s="178"/>
      <c r="R51" s="237"/>
      <c r="S51" s="33"/>
      <c r="T51" s="34"/>
      <c r="U51" s="34"/>
      <c r="V51" s="241"/>
      <c r="W51" s="34"/>
      <c r="X51" s="36"/>
      <c r="Y51" s="37"/>
      <c r="Z51" s="34"/>
    </row>
    <row r="52" spans="1:26" s="86" customFormat="1" ht="21.75" customHeight="1" x14ac:dyDescent="0.3">
      <c r="A52" s="38"/>
      <c r="B52" s="34"/>
      <c r="C52" s="34"/>
      <c r="D52" s="35"/>
      <c r="E52" s="34"/>
      <c r="F52" s="34"/>
      <c r="G52" s="37"/>
      <c r="H52" s="178"/>
      <c r="I52" s="205"/>
      <c r="J52" s="191"/>
      <c r="K52" s="34"/>
      <c r="L52" s="34"/>
      <c r="M52" s="35"/>
      <c r="N52" s="34"/>
      <c r="O52" s="34"/>
      <c r="P52" s="37"/>
      <c r="Q52" s="178"/>
      <c r="R52" s="237"/>
      <c r="S52" s="38"/>
      <c r="T52" s="34"/>
      <c r="U52" s="34"/>
      <c r="V52" s="241"/>
      <c r="W52" s="34"/>
      <c r="X52" s="34"/>
      <c r="Y52" s="37"/>
      <c r="Z52" s="34"/>
    </row>
    <row r="53" spans="1:26" s="43" customFormat="1" ht="18" x14ac:dyDescent="0.25">
      <c r="A53" s="376"/>
      <c r="B53" s="376"/>
      <c r="C53" s="74"/>
      <c r="D53" s="39"/>
      <c r="E53" s="40"/>
      <c r="F53" s="40"/>
      <c r="G53" s="41"/>
      <c r="H53" s="42"/>
      <c r="I53" s="206"/>
      <c r="J53" s="376"/>
      <c r="K53" s="376"/>
      <c r="L53" s="74"/>
      <c r="M53" s="39"/>
      <c r="N53" s="40"/>
      <c r="O53" s="40"/>
      <c r="P53" s="41"/>
      <c r="Q53" s="42"/>
      <c r="R53" s="238"/>
      <c r="S53" s="375"/>
      <c r="T53" s="375"/>
      <c r="U53" s="76"/>
      <c r="V53" s="39"/>
      <c r="W53" s="40"/>
      <c r="X53" s="40"/>
      <c r="Y53" s="41"/>
      <c r="Z53" s="42"/>
    </row>
    <row r="54" spans="1:26" s="44" customFormat="1" ht="26.25" customHeight="1" x14ac:dyDescent="0.35">
      <c r="A54" s="48"/>
      <c r="B54" s="87"/>
      <c r="C54" s="72"/>
      <c r="D54" s="88"/>
      <c r="E54" s="89"/>
      <c r="F54" s="88"/>
      <c r="G54" s="88"/>
      <c r="H54" s="177"/>
      <c r="I54" s="207"/>
      <c r="J54" s="192"/>
      <c r="K54" s="87"/>
      <c r="L54" s="72"/>
      <c r="M54" s="88"/>
      <c r="N54" s="89"/>
      <c r="O54" s="88"/>
      <c r="P54" s="88"/>
      <c r="Q54" s="177"/>
      <c r="R54" s="233"/>
      <c r="S54" s="48"/>
      <c r="T54" s="87"/>
      <c r="U54" s="72"/>
      <c r="V54" s="242"/>
      <c r="W54" s="89"/>
      <c r="X54" s="88"/>
      <c r="Y54" s="88"/>
      <c r="Z54" s="48"/>
    </row>
    <row r="55" spans="1:26" s="46" customFormat="1" ht="18" x14ac:dyDescent="0.3">
      <c r="A55" s="48"/>
      <c r="B55" s="90"/>
      <c r="C55" s="48"/>
      <c r="D55" s="91"/>
      <c r="E55" s="48"/>
      <c r="F55" s="45"/>
      <c r="G55" s="45"/>
      <c r="H55" s="177"/>
      <c r="I55" s="213"/>
      <c r="J55" s="192"/>
      <c r="K55" s="90"/>
      <c r="L55" s="48"/>
      <c r="M55" s="91"/>
      <c r="N55" s="48"/>
      <c r="O55" s="45"/>
      <c r="P55" s="45"/>
      <c r="Q55" s="177"/>
      <c r="R55" s="213"/>
      <c r="S55" s="192"/>
      <c r="T55" s="90"/>
      <c r="U55" s="48"/>
      <c r="V55" s="91"/>
      <c r="W55" s="48"/>
      <c r="X55" s="45"/>
      <c r="Y55" s="45"/>
      <c r="Z55" s="48"/>
    </row>
    <row r="56" spans="1:26" s="49" customFormat="1" ht="18" x14ac:dyDescent="0.3">
      <c r="A56" s="47"/>
      <c r="B56" s="48"/>
      <c r="C56" s="48"/>
      <c r="D56" s="91"/>
      <c r="E56" s="48"/>
      <c r="F56" s="45"/>
      <c r="G56" s="45"/>
      <c r="H56" s="177"/>
      <c r="I56" s="213"/>
      <c r="J56" s="193"/>
      <c r="K56" s="48"/>
      <c r="L56" s="48"/>
      <c r="M56" s="91"/>
      <c r="N56" s="48"/>
      <c r="O56" s="45"/>
      <c r="P56" s="45"/>
      <c r="Q56" s="177"/>
      <c r="R56" s="213"/>
      <c r="S56" s="193"/>
      <c r="T56" s="48"/>
      <c r="U56" s="48"/>
      <c r="V56" s="91"/>
      <c r="W56" s="48"/>
      <c r="X56" s="45"/>
      <c r="Y56" s="45"/>
      <c r="Z56" s="48"/>
    </row>
    <row r="57" spans="1:26" s="49" customFormat="1" ht="18" x14ac:dyDescent="0.3">
      <c r="A57" s="47"/>
      <c r="B57" s="48"/>
      <c r="C57" s="48"/>
      <c r="D57" s="92"/>
      <c r="E57" s="48"/>
      <c r="F57" s="45"/>
      <c r="G57" s="45"/>
      <c r="H57" s="177"/>
      <c r="I57" s="213"/>
      <c r="J57" s="193"/>
      <c r="K57" s="48"/>
      <c r="L57" s="48"/>
      <c r="M57" s="92"/>
      <c r="N57" s="48"/>
      <c r="O57" s="45"/>
      <c r="P57" s="45"/>
      <c r="Q57" s="177"/>
      <c r="R57" s="213"/>
      <c r="S57" s="193"/>
      <c r="T57" s="48"/>
      <c r="U57" s="48"/>
      <c r="V57" s="92"/>
      <c r="W57" s="48"/>
      <c r="X57" s="45"/>
      <c r="Y57" s="45"/>
      <c r="Z57" s="48"/>
    </row>
    <row r="58" spans="1:26" s="49" customFormat="1" ht="18" x14ac:dyDescent="0.3">
      <c r="A58" s="48"/>
      <c r="B58" s="90"/>
      <c r="C58" s="48"/>
      <c r="D58" s="93"/>
      <c r="E58" s="89"/>
      <c r="F58" s="88"/>
      <c r="G58" s="88"/>
      <c r="H58" s="177"/>
      <c r="I58" s="213"/>
      <c r="J58" s="192"/>
      <c r="K58" s="90"/>
      <c r="L58" s="48"/>
      <c r="M58" s="93"/>
      <c r="N58" s="89"/>
      <c r="O58" s="88"/>
      <c r="P58" s="88"/>
      <c r="Q58" s="177"/>
      <c r="R58" s="213"/>
      <c r="S58" s="192"/>
      <c r="T58" s="90"/>
      <c r="U58" s="48"/>
      <c r="V58" s="93"/>
      <c r="W58" s="89"/>
      <c r="X58" s="88"/>
      <c r="Y58" s="88"/>
      <c r="Z58" s="48"/>
    </row>
    <row r="59" spans="1:26" s="44" customFormat="1" ht="18" x14ac:dyDescent="0.3">
      <c r="A59" s="48"/>
      <c r="B59" s="90"/>
      <c r="C59" s="48"/>
      <c r="D59" s="93"/>
      <c r="E59" s="89"/>
      <c r="F59" s="88"/>
      <c r="G59" s="88"/>
      <c r="H59" s="177"/>
      <c r="I59" s="207"/>
      <c r="J59" s="192"/>
      <c r="K59" s="90"/>
      <c r="L59" s="48"/>
      <c r="M59" s="93"/>
      <c r="N59" s="89"/>
      <c r="O59" s="88"/>
      <c r="P59" s="88"/>
      <c r="Q59" s="177"/>
      <c r="R59" s="207"/>
      <c r="S59" s="192"/>
      <c r="T59" s="90"/>
      <c r="U59" s="48"/>
      <c r="V59" s="93"/>
      <c r="W59" s="89"/>
      <c r="X59" s="88"/>
      <c r="Y59" s="88"/>
      <c r="Z59" s="48"/>
    </row>
    <row r="60" spans="1:26" s="50" customFormat="1" ht="18" x14ac:dyDescent="0.3">
      <c r="A60" s="83"/>
      <c r="B60" s="94"/>
      <c r="C60" s="83"/>
      <c r="D60" s="95"/>
      <c r="E60" s="96"/>
      <c r="F60" s="97"/>
      <c r="G60" s="97"/>
      <c r="H60" s="83"/>
      <c r="I60" s="207"/>
      <c r="J60" s="83"/>
      <c r="K60" s="94"/>
      <c r="L60" s="83"/>
      <c r="M60" s="95"/>
      <c r="N60" s="96"/>
      <c r="O60" s="97"/>
      <c r="P60" s="97"/>
      <c r="Q60" s="83"/>
      <c r="R60" s="233"/>
      <c r="S60" s="48"/>
      <c r="T60" s="90"/>
      <c r="U60" s="48"/>
      <c r="V60" s="95"/>
      <c r="W60" s="96"/>
      <c r="X60" s="97"/>
      <c r="Y60" s="97"/>
      <c r="Z60" s="83"/>
    </row>
    <row r="61" spans="1:26" s="50" customFormat="1" ht="18" x14ac:dyDescent="0.3">
      <c r="A61" s="83"/>
      <c r="B61" s="94"/>
      <c r="C61" s="83"/>
      <c r="D61" s="95"/>
      <c r="E61" s="96"/>
      <c r="F61" s="97"/>
      <c r="G61" s="97"/>
      <c r="H61" s="83"/>
      <c r="I61" s="207"/>
      <c r="J61" s="83"/>
      <c r="K61" s="94"/>
      <c r="L61" s="83"/>
      <c r="M61" s="95"/>
      <c r="N61" s="96"/>
      <c r="O61" s="97"/>
      <c r="P61" s="97"/>
      <c r="Q61" s="83"/>
      <c r="R61" s="233"/>
      <c r="S61" s="48"/>
      <c r="T61" s="90"/>
      <c r="U61" s="48"/>
      <c r="V61" s="95"/>
      <c r="W61" s="96"/>
      <c r="X61" s="97"/>
      <c r="Y61" s="97"/>
      <c r="Z61" s="83"/>
    </row>
    <row r="62" spans="1:26" s="51" customFormat="1" ht="18" x14ac:dyDescent="0.3">
      <c r="I62" s="208"/>
      <c r="J62" s="98"/>
      <c r="K62" s="99"/>
      <c r="L62" s="83"/>
      <c r="M62" s="95"/>
      <c r="N62" s="96"/>
      <c r="O62" s="97"/>
      <c r="P62" s="100"/>
      <c r="Q62" s="99"/>
      <c r="R62" s="225"/>
      <c r="S62" s="231"/>
      <c r="T62" s="234"/>
      <c r="U62" s="48"/>
      <c r="V62" s="95"/>
      <c r="W62" s="96"/>
      <c r="X62" s="97"/>
      <c r="Y62" s="100"/>
      <c r="Z62" s="99"/>
    </row>
    <row r="63" spans="1:26" s="75" customFormat="1" ht="25.2" customHeight="1" x14ac:dyDescent="0.3">
      <c r="I63" s="208"/>
      <c r="J63" s="194"/>
      <c r="K63" s="76"/>
      <c r="L63" s="76"/>
      <c r="M63" s="77"/>
      <c r="N63" s="77"/>
      <c r="O63" s="78"/>
      <c r="P63" s="78"/>
      <c r="Q63" s="180"/>
      <c r="R63" s="208"/>
      <c r="S63" s="194"/>
      <c r="T63" s="76"/>
      <c r="U63" s="76"/>
      <c r="V63" s="77"/>
      <c r="W63" s="77"/>
      <c r="X63" s="78"/>
      <c r="Y63" s="78"/>
      <c r="Z63" s="78"/>
    </row>
    <row r="64" spans="1:26" s="75" customFormat="1" ht="25.05" customHeight="1" x14ac:dyDescent="0.3">
      <c r="I64" s="208"/>
      <c r="J64" s="195"/>
      <c r="K64" s="78"/>
      <c r="L64" s="52"/>
      <c r="M64" s="54"/>
      <c r="N64" s="55"/>
      <c r="O64" s="54"/>
      <c r="P64" s="56"/>
      <c r="Q64" s="218"/>
      <c r="R64" s="208"/>
      <c r="S64" s="195"/>
      <c r="T64" s="78"/>
      <c r="U64" s="52"/>
      <c r="V64" s="54"/>
      <c r="W64" s="55"/>
      <c r="X64" s="54"/>
      <c r="Y64" s="56"/>
      <c r="Z64" s="57"/>
    </row>
    <row r="65" spans="1:26" s="75" customFormat="1" ht="25.05" customHeight="1" x14ac:dyDescent="0.3">
      <c r="I65" s="208"/>
      <c r="J65" s="188"/>
      <c r="K65" s="53"/>
      <c r="L65" s="52"/>
      <c r="M65" s="54"/>
      <c r="N65" s="55"/>
      <c r="O65" s="54"/>
      <c r="P65" s="56"/>
      <c r="Q65" s="218"/>
      <c r="R65" s="208"/>
      <c r="S65" s="188"/>
      <c r="T65" s="53"/>
      <c r="U65" s="52"/>
      <c r="V65" s="54"/>
      <c r="W65" s="55"/>
      <c r="X65" s="54"/>
      <c r="Y65" s="56"/>
      <c r="Z65" s="57"/>
    </row>
    <row r="66" spans="1:26" s="75" customFormat="1" ht="25.05" customHeight="1" x14ac:dyDescent="0.3">
      <c r="I66" s="208"/>
      <c r="J66" s="196"/>
      <c r="K66" s="59"/>
      <c r="L66" s="58"/>
      <c r="M66" s="54"/>
      <c r="N66" s="55"/>
      <c r="O66" s="53"/>
      <c r="P66" s="56"/>
      <c r="Q66" s="219"/>
      <c r="R66" s="208"/>
      <c r="S66" s="196"/>
      <c r="T66" s="59"/>
      <c r="U66" s="58"/>
      <c r="V66" s="54"/>
      <c r="W66" s="55"/>
      <c r="X66" s="53"/>
      <c r="Y66" s="56"/>
      <c r="Z66" s="101"/>
    </row>
    <row r="67" spans="1:26" s="75" customFormat="1" ht="34.950000000000003" customHeight="1" x14ac:dyDescent="0.3">
      <c r="I67" s="208"/>
      <c r="J67" s="195"/>
      <c r="K67" s="78"/>
      <c r="L67" s="58"/>
      <c r="M67" s="54"/>
      <c r="N67" s="55"/>
      <c r="O67" s="54"/>
      <c r="P67" s="56"/>
      <c r="Q67" s="218"/>
      <c r="R67" s="208"/>
      <c r="S67" s="195"/>
      <c r="T67" s="78"/>
      <c r="U67" s="58"/>
      <c r="V67" s="54"/>
      <c r="W67" s="55"/>
      <c r="X67" s="54"/>
      <c r="Y67" s="56"/>
      <c r="Z67" s="57"/>
    </row>
    <row r="68" spans="1:26" s="75" customFormat="1" ht="25.05" customHeight="1" x14ac:dyDescent="0.3">
      <c r="I68" s="208"/>
      <c r="J68" s="188"/>
      <c r="K68" s="53"/>
      <c r="L68" s="52"/>
      <c r="M68" s="54"/>
      <c r="N68" s="55"/>
      <c r="O68" s="59"/>
      <c r="P68" s="56"/>
      <c r="Q68" s="219"/>
      <c r="R68" s="208"/>
      <c r="S68" s="188"/>
      <c r="T68" s="53"/>
      <c r="U68" s="52"/>
      <c r="V68" s="54"/>
      <c r="W68" s="55"/>
      <c r="X68" s="59"/>
      <c r="Y68" s="56"/>
      <c r="Z68" s="101"/>
    </row>
    <row r="69" spans="1:26" s="75" customFormat="1" ht="25.05" customHeight="1" x14ac:dyDescent="0.3">
      <c r="I69" s="208"/>
      <c r="J69" s="188"/>
      <c r="K69" s="53"/>
      <c r="L69" s="58"/>
      <c r="M69" s="54"/>
      <c r="N69" s="55"/>
      <c r="O69" s="53"/>
      <c r="P69" s="56"/>
      <c r="Q69" s="219"/>
      <c r="R69" s="208"/>
      <c r="S69" s="188"/>
      <c r="T69" s="53"/>
      <c r="U69" s="58"/>
      <c r="V69" s="54"/>
      <c r="W69" s="55"/>
      <c r="X69" s="53"/>
      <c r="Y69" s="56"/>
      <c r="Z69" s="101"/>
    </row>
    <row r="70" spans="1:26" s="75" customFormat="1" ht="25.05" customHeight="1" x14ac:dyDescent="0.3">
      <c r="I70" s="208"/>
      <c r="J70" s="188"/>
      <c r="K70" s="53"/>
      <c r="L70" s="52"/>
      <c r="M70" s="54"/>
      <c r="N70" s="55"/>
      <c r="O70" s="54"/>
      <c r="P70" s="56"/>
      <c r="Q70" s="218"/>
      <c r="R70" s="208"/>
      <c r="S70" s="188"/>
      <c r="T70" s="53"/>
      <c r="U70" s="52"/>
      <c r="V70" s="54"/>
      <c r="W70" s="55"/>
      <c r="X70" s="54"/>
      <c r="Y70" s="56"/>
      <c r="Z70" s="57"/>
    </row>
    <row r="71" spans="1:26" s="102" customFormat="1" ht="25.05" customHeight="1" x14ac:dyDescent="0.3">
      <c r="H71" s="179"/>
      <c r="I71" s="214"/>
      <c r="J71" s="188"/>
      <c r="K71" s="53"/>
      <c r="L71" s="52"/>
      <c r="M71" s="54"/>
      <c r="N71" s="55"/>
      <c r="O71" s="54"/>
      <c r="P71" s="56"/>
      <c r="Q71" s="218"/>
      <c r="R71" s="208"/>
      <c r="S71" s="188"/>
      <c r="T71" s="53"/>
      <c r="U71" s="52"/>
      <c r="V71" s="54"/>
      <c r="W71" s="55"/>
      <c r="X71" s="54"/>
      <c r="Y71" s="56"/>
      <c r="Z71" s="57"/>
    </row>
    <row r="72" spans="1:26" s="102" customFormat="1" ht="25.05" customHeight="1" x14ac:dyDescent="0.3">
      <c r="H72" s="179"/>
      <c r="I72" s="214"/>
      <c r="J72" s="188"/>
      <c r="K72" s="53"/>
      <c r="L72" s="58"/>
      <c r="M72" s="54"/>
      <c r="N72" s="55"/>
      <c r="O72" s="53"/>
      <c r="P72" s="56"/>
      <c r="Q72" s="219"/>
      <c r="R72" s="208"/>
      <c r="S72" s="188"/>
      <c r="T72" s="53"/>
      <c r="U72" s="58"/>
      <c r="V72" s="54"/>
      <c r="W72" s="55"/>
      <c r="X72" s="53"/>
      <c r="Y72" s="56"/>
      <c r="Z72" s="101"/>
    </row>
    <row r="73" spans="1:26" s="102" customFormat="1" ht="25.05" customHeight="1" x14ac:dyDescent="0.3">
      <c r="H73" s="179"/>
      <c r="I73" s="214"/>
      <c r="J73" s="188"/>
      <c r="K73" s="53"/>
      <c r="L73" s="58"/>
      <c r="M73" s="54"/>
      <c r="N73" s="55"/>
      <c r="O73" s="59"/>
      <c r="P73" s="56"/>
      <c r="Q73" s="219"/>
      <c r="R73" s="208"/>
      <c r="S73" s="188"/>
      <c r="T73" s="53"/>
      <c r="U73" s="58"/>
      <c r="V73" s="54"/>
      <c r="W73" s="55"/>
      <c r="X73" s="59"/>
      <c r="Y73" s="56"/>
      <c r="Z73" s="101"/>
    </row>
    <row r="74" spans="1:26" s="102" customFormat="1" ht="25.05" customHeight="1" x14ac:dyDescent="0.3">
      <c r="H74" s="179"/>
      <c r="I74" s="214"/>
      <c r="J74" s="188"/>
      <c r="K74" s="53"/>
      <c r="L74" s="52"/>
      <c r="M74" s="54"/>
      <c r="N74" s="55"/>
      <c r="O74" s="53"/>
      <c r="P74" s="56"/>
      <c r="Q74" s="219"/>
      <c r="R74" s="208"/>
      <c r="S74" s="188"/>
      <c r="T74" s="53"/>
      <c r="U74" s="52"/>
      <c r="V74" s="54"/>
      <c r="W74" s="55"/>
      <c r="X74" s="53"/>
      <c r="Y74" s="56"/>
      <c r="Z74" s="101"/>
    </row>
    <row r="75" spans="1:26" s="102" customFormat="1" ht="25.05" customHeight="1" x14ac:dyDescent="0.3">
      <c r="H75" s="179"/>
      <c r="I75" s="214"/>
      <c r="J75" s="188"/>
      <c r="K75" s="53"/>
      <c r="L75" s="52"/>
      <c r="M75" s="54"/>
      <c r="N75" s="55"/>
      <c r="O75" s="54"/>
      <c r="P75" s="56"/>
      <c r="Q75" s="218"/>
      <c r="R75" s="208"/>
      <c r="S75" s="188"/>
      <c r="T75" s="53"/>
      <c r="U75" s="52"/>
      <c r="V75" s="54"/>
      <c r="W75" s="55"/>
      <c r="X75" s="54"/>
      <c r="Y75" s="56"/>
      <c r="Z75" s="57"/>
    </row>
    <row r="76" spans="1:26" s="102" customFormat="1" ht="25.05" customHeight="1" x14ac:dyDescent="0.3">
      <c r="H76" s="179"/>
      <c r="I76" s="214"/>
      <c r="J76" s="188"/>
      <c r="K76" s="53"/>
      <c r="L76" s="58"/>
      <c r="M76" s="54"/>
      <c r="N76" s="55"/>
      <c r="O76" s="54"/>
      <c r="P76" s="56"/>
      <c r="Q76" s="218"/>
      <c r="R76" s="225"/>
      <c r="S76" s="101"/>
      <c r="T76" s="78"/>
      <c r="U76" s="57"/>
      <c r="V76" s="228"/>
      <c r="W76" s="55"/>
      <c r="X76" s="54"/>
      <c r="Y76" s="56"/>
      <c r="Z76" s="57"/>
    </row>
    <row r="77" spans="1:26" s="102" customFormat="1" ht="25.05" customHeight="1" x14ac:dyDescent="0.3">
      <c r="H77" s="179"/>
      <c r="I77" s="214"/>
      <c r="J77" s="188"/>
      <c r="K77" s="53"/>
      <c r="L77" s="52"/>
      <c r="M77" s="54"/>
      <c r="N77" s="55"/>
      <c r="O77" s="59"/>
      <c r="P77" s="56"/>
      <c r="Q77" s="219"/>
      <c r="R77" s="225"/>
      <c r="S77" s="101"/>
      <c r="T77" s="78"/>
      <c r="U77" s="101"/>
      <c r="V77" s="228"/>
      <c r="W77" s="55"/>
      <c r="X77" s="59"/>
      <c r="Y77" s="56"/>
      <c r="Z77" s="101"/>
    </row>
    <row r="78" spans="1:26" s="51" customFormat="1" ht="25.2" customHeight="1" x14ac:dyDescent="0.3">
      <c r="A78" s="80"/>
      <c r="B78" s="81"/>
      <c r="C78" s="103"/>
      <c r="D78" s="104"/>
      <c r="E78" s="105"/>
      <c r="F78" s="81"/>
      <c r="G78" s="104"/>
      <c r="H78" s="81"/>
      <c r="I78" s="208"/>
      <c r="J78" s="80"/>
      <c r="K78" s="81"/>
      <c r="L78" s="103"/>
      <c r="M78" s="104"/>
      <c r="N78" s="105"/>
      <c r="O78" s="81"/>
      <c r="P78" s="104"/>
      <c r="Q78" s="81"/>
      <c r="R78" s="225"/>
      <c r="S78" s="101"/>
      <c r="T78" s="78"/>
      <c r="U78" s="57"/>
      <c r="V78" s="104"/>
      <c r="W78" s="105"/>
      <c r="X78" s="81"/>
      <c r="Y78" s="104"/>
      <c r="Z78" s="81"/>
    </row>
    <row r="79" spans="1:26" s="62" customFormat="1" ht="34.950000000000003" customHeight="1" x14ac:dyDescent="0.35">
      <c r="A79" s="98"/>
      <c r="B79" s="84"/>
      <c r="C79" s="80"/>
      <c r="D79" s="106"/>
      <c r="E79" s="107"/>
      <c r="F79" s="108"/>
      <c r="G79" s="107"/>
      <c r="H79" s="109"/>
      <c r="I79" s="209"/>
      <c r="J79" s="98"/>
      <c r="K79" s="84"/>
      <c r="L79" s="80"/>
      <c r="M79" s="106"/>
      <c r="N79" s="107"/>
      <c r="O79" s="108"/>
      <c r="P79" s="107"/>
      <c r="Q79" s="109"/>
      <c r="R79" s="226"/>
      <c r="S79" s="231"/>
      <c r="T79" s="232"/>
      <c r="U79" s="101"/>
      <c r="V79" s="106"/>
      <c r="W79" s="107"/>
      <c r="X79" s="108"/>
      <c r="Y79" s="107"/>
      <c r="Z79" s="109"/>
    </row>
    <row r="80" spans="1:26" s="64" customFormat="1" ht="25.2" customHeight="1" x14ac:dyDescent="0.35">
      <c r="A80" s="57"/>
      <c r="B80" s="76"/>
      <c r="C80" s="76"/>
      <c r="D80" s="77"/>
      <c r="E80" s="78"/>
      <c r="F80" s="78"/>
      <c r="G80" s="78"/>
      <c r="H80" s="180"/>
      <c r="I80" s="210"/>
      <c r="J80" s="197"/>
      <c r="K80" s="76"/>
      <c r="L80" s="76"/>
      <c r="M80" s="77"/>
      <c r="N80" s="78"/>
      <c r="O80" s="78"/>
      <c r="P80" s="78"/>
      <c r="Q80" s="180"/>
      <c r="R80" s="227"/>
      <c r="S80" s="57"/>
      <c r="T80" s="76"/>
      <c r="U80" s="76"/>
      <c r="V80" s="229"/>
      <c r="W80" s="78"/>
      <c r="X80" s="78"/>
      <c r="Y80" s="78"/>
      <c r="Z80" s="78"/>
    </row>
    <row r="81" spans="1:26" s="65" customFormat="1" ht="25.05" customHeight="1" x14ac:dyDescent="0.35">
      <c r="A81" s="58"/>
      <c r="B81" s="58"/>
      <c r="C81" s="58"/>
      <c r="D81" s="79"/>
      <c r="E81" s="59"/>
      <c r="F81" s="59"/>
      <c r="G81" s="59"/>
      <c r="H81" s="176"/>
      <c r="I81" s="210"/>
      <c r="J81" s="196"/>
      <c r="K81" s="58"/>
      <c r="L81" s="58"/>
      <c r="M81" s="79"/>
      <c r="N81" s="59"/>
      <c r="O81" s="59"/>
      <c r="P81" s="59"/>
      <c r="Q81" s="176"/>
      <c r="R81" s="227"/>
      <c r="S81" s="57"/>
      <c r="T81" s="57"/>
      <c r="U81" s="57"/>
      <c r="V81" s="230"/>
      <c r="W81" s="59"/>
      <c r="X81" s="59"/>
      <c r="Y81" s="59"/>
      <c r="Z81" s="58"/>
    </row>
    <row r="82" spans="1:26" s="65" customFormat="1" ht="25.05" customHeight="1" x14ac:dyDescent="0.35">
      <c r="A82" s="58"/>
      <c r="B82" s="58"/>
      <c r="C82" s="58"/>
      <c r="D82" s="79"/>
      <c r="E82" s="59"/>
      <c r="F82" s="59"/>
      <c r="G82" s="59"/>
      <c r="H82" s="176"/>
      <c r="I82" s="210"/>
      <c r="J82" s="196"/>
      <c r="K82" s="58"/>
      <c r="L82" s="58"/>
      <c r="M82" s="79"/>
      <c r="N82" s="59"/>
      <c r="O82" s="59"/>
      <c r="P82" s="59"/>
      <c r="Q82" s="176"/>
      <c r="R82" s="227"/>
      <c r="S82" s="57"/>
      <c r="T82" s="57"/>
      <c r="U82" s="57"/>
      <c r="V82" s="230"/>
      <c r="W82" s="59"/>
      <c r="X82" s="59"/>
      <c r="Y82" s="59"/>
      <c r="Z82" s="58"/>
    </row>
    <row r="83" spans="1:26" s="65" customFormat="1" ht="25.05" customHeight="1" x14ac:dyDescent="0.35">
      <c r="A83" s="58"/>
      <c r="B83" s="58"/>
      <c r="C83" s="58"/>
      <c r="D83" s="79"/>
      <c r="E83" s="59"/>
      <c r="F83" s="59"/>
      <c r="G83" s="59"/>
      <c r="H83" s="176"/>
      <c r="I83" s="210"/>
      <c r="J83" s="196"/>
      <c r="K83" s="58"/>
      <c r="L83" s="58"/>
      <c r="M83" s="79"/>
      <c r="N83" s="59"/>
      <c r="O83" s="59"/>
      <c r="P83" s="59"/>
      <c r="Q83" s="176"/>
      <c r="R83" s="227"/>
      <c r="S83" s="57"/>
      <c r="T83" s="57"/>
      <c r="U83" s="57"/>
      <c r="V83" s="230"/>
      <c r="W83" s="59"/>
      <c r="X83" s="59"/>
      <c r="Y83" s="59"/>
      <c r="Z83" s="58"/>
    </row>
    <row r="84" spans="1:26" s="65" customFormat="1" ht="36.6" customHeight="1" x14ac:dyDescent="0.35">
      <c r="A84" s="58"/>
      <c r="B84" s="58"/>
      <c r="C84" s="58"/>
      <c r="D84" s="79"/>
      <c r="E84" s="59"/>
      <c r="F84" s="59"/>
      <c r="G84" s="59"/>
      <c r="H84" s="176"/>
      <c r="I84" s="210"/>
      <c r="J84" s="196"/>
      <c r="K84" s="58"/>
      <c r="L84" s="58"/>
      <c r="M84" s="79"/>
      <c r="N84" s="59"/>
      <c r="O84" s="59"/>
      <c r="P84" s="59"/>
      <c r="Q84" s="176"/>
      <c r="R84" s="227"/>
      <c r="S84" s="57"/>
      <c r="T84" s="57"/>
      <c r="U84" s="57"/>
      <c r="V84" s="230"/>
      <c r="W84" s="59"/>
      <c r="X84" s="59"/>
      <c r="Y84" s="59"/>
      <c r="Z84" s="58"/>
    </row>
    <row r="85" spans="1:26" s="65" customFormat="1" ht="25.05" customHeight="1" x14ac:dyDescent="0.35">
      <c r="A85" s="58"/>
      <c r="B85" s="58"/>
      <c r="C85" s="58"/>
      <c r="D85" s="79"/>
      <c r="E85" s="59"/>
      <c r="F85" s="59"/>
      <c r="G85" s="59"/>
      <c r="H85" s="176"/>
      <c r="I85" s="210"/>
      <c r="J85" s="196"/>
      <c r="K85" s="58"/>
      <c r="L85" s="58"/>
      <c r="M85" s="79"/>
      <c r="N85" s="59"/>
      <c r="O85" s="59"/>
      <c r="P85" s="59"/>
      <c r="Q85" s="176"/>
      <c r="R85" s="227"/>
      <c r="S85" s="57"/>
      <c r="T85" s="57"/>
      <c r="U85" s="57"/>
      <c r="V85" s="230"/>
      <c r="W85" s="59"/>
      <c r="X85" s="59"/>
      <c r="Y85" s="59"/>
      <c r="Z85" s="58"/>
    </row>
    <row r="86" spans="1:26" s="65" customFormat="1" ht="25.05" customHeight="1" x14ac:dyDescent="0.35">
      <c r="A86" s="58"/>
      <c r="B86" s="58"/>
      <c r="C86" s="58"/>
      <c r="D86" s="79"/>
      <c r="E86" s="59"/>
      <c r="F86" s="59"/>
      <c r="G86" s="59"/>
      <c r="H86" s="176"/>
      <c r="I86" s="210"/>
      <c r="J86" s="196"/>
      <c r="K86" s="58"/>
      <c r="L86" s="58"/>
      <c r="M86" s="79"/>
      <c r="N86" s="59"/>
      <c r="O86" s="59"/>
      <c r="P86" s="59"/>
      <c r="Q86" s="176"/>
      <c r="R86" s="227"/>
      <c r="S86" s="57"/>
      <c r="T86" s="57"/>
      <c r="U86" s="57"/>
      <c r="V86" s="230"/>
      <c r="W86" s="59"/>
      <c r="X86" s="59"/>
      <c r="Y86" s="59"/>
      <c r="Z86" s="58"/>
    </row>
    <row r="87" spans="1:26" s="65" customFormat="1" ht="25.05" customHeight="1" x14ac:dyDescent="0.35">
      <c r="A87" s="58"/>
      <c r="B87" s="58"/>
      <c r="C87" s="58"/>
      <c r="D87" s="79"/>
      <c r="E87" s="59"/>
      <c r="F87" s="59"/>
      <c r="G87" s="59"/>
      <c r="H87" s="176"/>
      <c r="I87" s="210"/>
      <c r="J87" s="196"/>
      <c r="K87" s="58"/>
      <c r="L87" s="58"/>
      <c r="M87" s="79"/>
      <c r="N87" s="59"/>
      <c r="O87" s="59"/>
      <c r="P87" s="59"/>
      <c r="Q87" s="176"/>
      <c r="R87" s="227"/>
      <c r="S87" s="57"/>
      <c r="T87" s="57"/>
      <c r="U87" s="57"/>
      <c r="V87" s="230"/>
      <c r="W87" s="59"/>
      <c r="X87" s="59"/>
      <c r="Y87" s="59"/>
      <c r="Z87" s="58"/>
    </row>
    <row r="88" spans="1:26" s="65" customFormat="1" ht="25.05" customHeight="1" x14ac:dyDescent="0.35">
      <c r="A88" s="58"/>
      <c r="B88" s="58"/>
      <c r="C88" s="58"/>
      <c r="D88" s="79"/>
      <c r="E88" s="59"/>
      <c r="F88" s="59"/>
      <c r="G88" s="59"/>
      <c r="H88" s="176"/>
      <c r="I88" s="210"/>
      <c r="J88" s="196"/>
      <c r="K88" s="58"/>
      <c r="L88" s="58"/>
      <c r="M88" s="79"/>
      <c r="N88" s="59"/>
      <c r="O88" s="59"/>
      <c r="P88" s="59"/>
      <c r="Q88" s="176"/>
      <c r="R88" s="227"/>
      <c r="S88" s="57"/>
      <c r="T88" s="57"/>
      <c r="U88" s="57"/>
      <c r="V88" s="230"/>
      <c r="W88" s="59"/>
      <c r="X88" s="59"/>
      <c r="Y88" s="59"/>
      <c r="Z88" s="58"/>
    </row>
    <row r="89" spans="1:26" s="65" customFormat="1" ht="25.05" customHeight="1" x14ac:dyDescent="0.35">
      <c r="A89" s="58"/>
      <c r="B89" s="58"/>
      <c r="C89" s="58"/>
      <c r="D89" s="79"/>
      <c r="E89" s="59"/>
      <c r="F89" s="59"/>
      <c r="G89" s="59"/>
      <c r="H89" s="176"/>
      <c r="I89" s="210"/>
      <c r="J89" s="196"/>
      <c r="K89" s="58"/>
      <c r="L89" s="58"/>
      <c r="M89" s="79"/>
      <c r="N89" s="59"/>
      <c r="O89" s="59"/>
      <c r="P89" s="59"/>
      <c r="Q89" s="176"/>
      <c r="R89" s="227"/>
      <c r="S89" s="57"/>
      <c r="T89" s="57"/>
      <c r="U89" s="57"/>
      <c r="V89" s="230"/>
      <c r="W89" s="59"/>
      <c r="X89" s="59"/>
      <c r="Y89" s="59"/>
      <c r="Z89" s="58"/>
    </row>
    <row r="90" spans="1:26" s="65" customFormat="1" ht="25.05" customHeight="1" x14ac:dyDescent="0.35">
      <c r="A90" s="58"/>
      <c r="B90" s="58"/>
      <c r="C90" s="58"/>
      <c r="D90" s="79"/>
      <c r="E90" s="59"/>
      <c r="F90" s="59"/>
      <c r="G90" s="59"/>
      <c r="H90" s="176"/>
      <c r="I90" s="210"/>
      <c r="J90" s="196"/>
      <c r="K90" s="58"/>
      <c r="L90" s="58"/>
      <c r="M90" s="79"/>
      <c r="N90" s="59"/>
      <c r="O90" s="59"/>
      <c r="P90" s="59"/>
      <c r="Q90" s="176"/>
      <c r="R90" s="210"/>
      <c r="S90" s="196"/>
      <c r="T90" s="58"/>
      <c r="U90" s="58"/>
      <c r="V90" s="79"/>
      <c r="W90" s="59"/>
      <c r="X90" s="59"/>
      <c r="Y90" s="59"/>
      <c r="Z90" s="58"/>
    </row>
    <row r="91" spans="1:26" s="65" customFormat="1" ht="25.05" customHeight="1" x14ac:dyDescent="0.35">
      <c r="A91" s="58"/>
      <c r="B91" s="58"/>
      <c r="C91" s="58"/>
      <c r="D91" s="79"/>
      <c r="E91" s="59"/>
      <c r="F91" s="59"/>
      <c r="G91" s="59"/>
      <c r="H91" s="176"/>
      <c r="I91" s="210"/>
      <c r="J91" s="196"/>
      <c r="K91" s="58"/>
      <c r="L91" s="58"/>
      <c r="M91" s="79"/>
      <c r="N91" s="59"/>
      <c r="O91" s="59"/>
      <c r="P91" s="59"/>
      <c r="Q91" s="176"/>
      <c r="R91" s="210"/>
      <c r="S91" s="196"/>
      <c r="T91" s="58"/>
      <c r="U91" s="58"/>
      <c r="V91" s="79"/>
      <c r="W91" s="59"/>
      <c r="X91" s="59"/>
      <c r="Y91" s="59"/>
      <c r="Z91" s="58"/>
    </row>
    <row r="92" spans="1:26" s="65" customFormat="1" ht="25.05" customHeight="1" x14ac:dyDescent="0.35">
      <c r="A92" s="52"/>
      <c r="B92" s="52"/>
      <c r="C92" s="52"/>
      <c r="D92" s="54"/>
      <c r="E92" s="53"/>
      <c r="F92" s="53"/>
      <c r="G92" s="53"/>
      <c r="H92" s="181"/>
      <c r="I92" s="210"/>
      <c r="J92" s="188"/>
      <c r="K92" s="52"/>
      <c r="L92" s="52"/>
      <c r="M92" s="54"/>
      <c r="N92" s="53"/>
      <c r="O92" s="53"/>
      <c r="P92" s="53"/>
      <c r="Q92" s="181"/>
      <c r="R92" s="210"/>
      <c r="S92" s="188"/>
      <c r="T92" s="52"/>
      <c r="U92" s="52"/>
      <c r="V92" s="54"/>
      <c r="W92" s="53"/>
      <c r="X92" s="53"/>
      <c r="Y92" s="53"/>
      <c r="Z92" s="52"/>
    </row>
    <row r="93" spans="1:26" s="65" customFormat="1" ht="25.05" customHeight="1" x14ac:dyDescent="0.35">
      <c r="A93" s="52"/>
      <c r="B93" s="52"/>
      <c r="C93" s="52"/>
      <c r="D93" s="54"/>
      <c r="E93" s="53"/>
      <c r="F93" s="53"/>
      <c r="G93" s="53"/>
      <c r="H93" s="181"/>
      <c r="I93" s="210"/>
      <c r="J93" s="188"/>
      <c r="K93" s="52"/>
      <c r="L93" s="52"/>
      <c r="M93" s="54"/>
      <c r="N93" s="53"/>
      <c r="O93" s="53"/>
      <c r="P93" s="53"/>
      <c r="Q93" s="181"/>
      <c r="R93" s="210"/>
      <c r="S93" s="188"/>
      <c r="T93" s="52"/>
      <c r="U93" s="52"/>
      <c r="V93" s="54"/>
      <c r="W93" s="53"/>
      <c r="X93" s="53"/>
      <c r="Y93" s="53"/>
      <c r="Z93" s="52"/>
    </row>
    <row r="94" spans="1:26" s="65" customFormat="1" ht="25.05" customHeight="1" x14ac:dyDescent="0.35">
      <c r="A94" s="52"/>
      <c r="B94" s="52"/>
      <c r="C94" s="52"/>
      <c r="D94" s="54"/>
      <c r="E94" s="53"/>
      <c r="F94" s="53"/>
      <c r="G94" s="53"/>
      <c r="H94" s="181"/>
      <c r="I94" s="210"/>
      <c r="J94" s="188"/>
      <c r="K94" s="52"/>
      <c r="L94" s="52"/>
      <c r="M94" s="54"/>
      <c r="N94" s="53"/>
      <c r="O94" s="53"/>
      <c r="P94" s="53"/>
      <c r="Q94" s="181"/>
      <c r="R94" s="210"/>
      <c r="S94" s="188"/>
      <c r="T94" s="52"/>
      <c r="U94" s="52"/>
      <c r="V94" s="54"/>
      <c r="W94" s="53"/>
      <c r="X94" s="53"/>
      <c r="Y94" s="53"/>
      <c r="Z94" s="52"/>
    </row>
    <row r="95" spans="1:26" s="65" customFormat="1" ht="25.05" customHeight="1" x14ac:dyDescent="0.35">
      <c r="A95" s="52"/>
      <c r="B95" s="52"/>
      <c r="C95" s="52"/>
      <c r="D95" s="54"/>
      <c r="E95" s="53"/>
      <c r="F95" s="53"/>
      <c r="G95" s="53"/>
      <c r="H95" s="181"/>
      <c r="I95" s="210"/>
      <c r="J95" s="188"/>
      <c r="K95" s="52"/>
      <c r="L95" s="52"/>
      <c r="M95" s="54"/>
      <c r="N95" s="53"/>
      <c r="O95" s="53"/>
      <c r="P95" s="53"/>
      <c r="Q95" s="181"/>
      <c r="R95" s="210"/>
      <c r="S95" s="188"/>
      <c r="T95" s="52"/>
      <c r="U95" s="52"/>
      <c r="V95" s="54"/>
      <c r="W95" s="53"/>
      <c r="X95" s="53"/>
      <c r="Y95" s="53"/>
      <c r="Z95" s="52"/>
    </row>
    <row r="96" spans="1:26" s="65" customFormat="1" ht="24.6" customHeight="1" x14ac:dyDescent="0.35">
      <c r="A96" s="52"/>
      <c r="B96" s="52"/>
      <c r="C96" s="52"/>
      <c r="D96" s="54"/>
      <c r="E96" s="53"/>
      <c r="F96" s="53"/>
      <c r="G96" s="53"/>
      <c r="H96" s="181"/>
      <c r="I96" s="210"/>
      <c r="J96" s="188"/>
      <c r="K96" s="52"/>
      <c r="L96" s="52"/>
      <c r="M96" s="54"/>
      <c r="N96" s="53"/>
      <c r="O96" s="53"/>
      <c r="P96" s="53"/>
      <c r="Q96" s="181"/>
      <c r="R96" s="210"/>
      <c r="S96" s="188"/>
      <c r="T96" s="52"/>
      <c r="U96" s="52"/>
      <c r="V96" s="54"/>
      <c r="W96" s="53"/>
      <c r="X96" s="53"/>
      <c r="Y96" s="53"/>
      <c r="Z96" s="52"/>
    </row>
    <row r="97" spans="1:26" s="65" customFormat="1" ht="25.05" customHeight="1" x14ac:dyDescent="0.35">
      <c r="A97" s="110"/>
      <c r="B97" s="111"/>
      <c r="C97" s="110"/>
      <c r="D97" s="112"/>
      <c r="E97" s="111"/>
      <c r="F97" s="111"/>
      <c r="G97" s="113"/>
      <c r="H97" s="182"/>
      <c r="I97" s="210"/>
      <c r="J97" s="198"/>
      <c r="K97" s="111"/>
      <c r="L97" s="110"/>
      <c r="M97" s="112"/>
      <c r="N97" s="111"/>
      <c r="O97" s="111"/>
      <c r="P97" s="113"/>
      <c r="Q97" s="182"/>
      <c r="R97" s="210"/>
      <c r="S97" s="198"/>
      <c r="T97" s="111"/>
      <c r="U97" s="110"/>
      <c r="V97" s="112"/>
      <c r="W97" s="111"/>
      <c r="X97" s="111"/>
      <c r="Y97" s="113"/>
      <c r="Z97" s="110"/>
    </row>
    <row r="98" spans="1:26" ht="13.65" customHeight="1" x14ac:dyDescent="0.3"/>
    <row r="99" spans="1:26" ht="13.65" customHeight="1" x14ac:dyDescent="0.3"/>
    <row r="100" spans="1:26" ht="13.65" customHeight="1" x14ac:dyDescent="0.3"/>
    <row r="101" spans="1:26" ht="13.65" customHeight="1" x14ac:dyDescent="0.3"/>
    <row r="102" spans="1:26" ht="13.65" customHeight="1" x14ac:dyDescent="0.3"/>
    <row r="103" spans="1:26" ht="13.5" customHeight="1" x14ac:dyDescent="0.3"/>
    <row r="104" spans="1:26" ht="13.5" customHeight="1" x14ac:dyDescent="0.3">
      <c r="A104" s="115"/>
      <c r="H104" s="184"/>
      <c r="J104" s="115"/>
      <c r="Q104" s="184"/>
      <c r="S104" s="115"/>
      <c r="Z104" s="118"/>
    </row>
    <row r="105" spans="1:26" ht="13.65" customHeight="1" x14ac:dyDescent="0.3">
      <c r="A105" s="115"/>
      <c r="H105" s="184"/>
      <c r="J105" s="115"/>
      <c r="Q105" s="184"/>
      <c r="S105" s="115"/>
      <c r="Z105" s="118"/>
    </row>
    <row r="106" spans="1:26" ht="13.65" customHeight="1" x14ac:dyDescent="0.3">
      <c r="A106" s="115"/>
      <c r="H106" s="184"/>
      <c r="J106" s="115"/>
      <c r="Q106" s="184"/>
      <c r="S106" s="115"/>
      <c r="Z106" s="118"/>
    </row>
    <row r="107" spans="1:26" ht="13.65" customHeight="1" x14ac:dyDescent="0.3">
      <c r="A107" s="115"/>
      <c r="H107" s="184"/>
      <c r="J107" s="115"/>
      <c r="Q107" s="184"/>
      <c r="S107" s="115"/>
      <c r="Z107" s="118"/>
    </row>
    <row r="108" spans="1:26" ht="13.65" customHeight="1" x14ac:dyDescent="0.3">
      <c r="A108" s="115"/>
      <c r="H108" s="184"/>
      <c r="J108" s="115"/>
      <c r="Q108" s="184"/>
      <c r="S108" s="115"/>
      <c r="Z108" s="118"/>
    </row>
    <row r="109" spans="1:26" ht="13.65" customHeight="1" x14ac:dyDescent="0.3">
      <c r="A109" s="115"/>
      <c r="H109" s="184"/>
      <c r="J109" s="115"/>
      <c r="Q109" s="184"/>
      <c r="S109" s="115"/>
      <c r="Z109" s="118"/>
    </row>
    <row r="110" spans="1:26" ht="13.65" customHeight="1" x14ac:dyDescent="0.3">
      <c r="A110" s="115"/>
      <c r="H110" s="184"/>
      <c r="J110" s="115"/>
      <c r="Q110" s="184"/>
      <c r="S110" s="115"/>
      <c r="Z110" s="118"/>
    </row>
    <row r="111" spans="1:26" ht="13.65" customHeight="1" x14ac:dyDescent="0.3">
      <c r="A111" s="115"/>
      <c r="H111" s="184"/>
      <c r="J111" s="115"/>
      <c r="Q111" s="184"/>
      <c r="S111" s="115"/>
      <c r="Z111" s="118"/>
    </row>
    <row r="112" spans="1:26" ht="13.65" customHeight="1" x14ac:dyDescent="0.3">
      <c r="A112" s="115"/>
      <c r="H112" s="184"/>
      <c r="J112" s="115"/>
      <c r="Q112" s="184"/>
      <c r="S112" s="115"/>
      <c r="Z112" s="118"/>
    </row>
    <row r="113" spans="1:26" ht="13.65" customHeight="1" x14ac:dyDescent="0.3">
      <c r="A113" s="115"/>
      <c r="H113" s="184"/>
      <c r="J113" s="115"/>
      <c r="Q113" s="184"/>
      <c r="S113" s="115"/>
      <c r="Z113" s="118"/>
    </row>
    <row r="114" spans="1:26" ht="13.5" customHeight="1" x14ac:dyDescent="0.3">
      <c r="A114" s="115"/>
      <c r="H114" s="184"/>
      <c r="J114" s="115"/>
      <c r="Q114" s="184"/>
      <c r="S114" s="115"/>
      <c r="Z114" s="118"/>
    </row>
    <row r="115" spans="1:26" ht="13.65" customHeight="1" x14ac:dyDescent="0.3">
      <c r="A115" s="115"/>
      <c r="H115" s="184"/>
      <c r="J115" s="115"/>
      <c r="Q115" s="184"/>
      <c r="S115" s="115"/>
      <c r="Z115" s="118"/>
    </row>
    <row r="116" spans="1:26" ht="13.65" customHeight="1" x14ac:dyDescent="0.3">
      <c r="A116" s="115"/>
      <c r="H116" s="184"/>
      <c r="J116" s="115"/>
      <c r="Q116" s="184"/>
      <c r="S116" s="115"/>
      <c r="Z116" s="118"/>
    </row>
    <row r="117" spans="1:26" ht="13.65" customHeight="1" x14ac:dyDescent="0.3">
      <c r="A117" s="115"/>
      <c r="H117" s="184"/>
      <c r="J117" s="115"/>
      <c r="Q117" s="184"/>
      <c r="S117" s="115"/>
      <c r="Z117" s="118"/>
    </row>
    <row r="118" spans="1:26" ht="12.75" customHeight="1" x14ac:dyDescent="0.3">
      <c r="A118" s="115"/>
      <c r="H118" s="184"/>
      <c r="J118" s="115"/>
      <c r="Q118" s="184"/>
      <c r="S118" s="115"/>
      <c r="Z118" s="118"/>
    </row>
    <row r="119" spans="1:26" ht="12.75" customHeight="1" x14ac:dyDescent="0.3">
      <c r="A119" s="115"/>
      <c r="H119" s="184"/>
      <c r="J119" s="115"/>
      <c r="Q119" s="184"/>
      <c r="S119" s="115"/>
      <c r="Z119" s="118"/>
    </row>
    <row r="120" spans="1:26" ht="12.75" customHeight="1" x14ac:dyDescent="0.3">
      <c r="A120" s="115"/>
      <c r="H120" s="184"/>
      <c r="J120" s="115"/>
      <c r="Q120" s="184"/>
      <c r="S120" s="115"/>
      <c r="Z120" s="118"/>
    </row>
    <row r="121" spans="1:26" ht="12.75" customHeight="1" x14ac:dyDescent="0.3">
      <c r="A121" s="115"/>
      <c r="H121" s="184"/>
      <c r="J121" s="115"/>
      <c r="Q121" s="184"/>
      <c r="S121" s="115"/>
      <c r="Z121" s="118"/>
    </row>
    <row r="122" spans="1:26" ht="12.75" customHeight="1" x14ac:dyDescent="0.3">
      <c r="A122" s="115"/>
      <c r="H122" s="184"/>
      <c r="J122" s="115"/>
      <c r="Q122" s="184"/>
      <c r="S122" s="115"/>
      <c r="Z122" s="118"/>
    </row>
    <row r="123" spans="1:26" ht="13.65" customHeight="1" x14ac:dyDescent="0.3">
      <c r="A123" s="115"/>
      <c r="H123" s="184"/>
      <c r="J123" s="115"/>
      <c r="Q123" s="184"/>
      <c r="S123" s="115"/>
      <c r="Z123" s="118"/>
    </row>
    <row r="124" spans="1:26" ht="13.5" customHeight="1" x14ac:dyDescent="0.3">
      <c r="A124" s="115"/>
      <c r="H124" s="184"/>
      <c r="J124" s="115"/>
      <c r="Q124" s="184"/>
      <c r="S124" s="115"/>
      <c r="Z124" s="118"/>
    </row>
    <row r="125" spans="1:26" ht="13.65" customHeight="1" x14ac:dyDescent="0.3">
      <c r="A125" s="115"/>
      <c r="H125" s="184"/>
      <c r="J125" s="115"/>
      <c r="Q125" s="184"/>
      <c r="S125" s="115"/>
      <c r="Z125" s="118"/>
    </row>
    <row r="126" spans="1:26" ht="13.65" customHeight="1" x14ac:dyDescent="0.3">
      <c r="A126" s="115"/>
      <c r="H126" s="184"/>
      <c r="J126" s="115"/>
      <c r="Q126" s="184"/>
      <c r="S126" s="115"/>
      <c r="Z126" s="118"/>
    </row>
    <row r="127" spans="1:26" ht="12" customHeight="1" x14ac:dyDescent="0.3">
      <c r="A127" s="115"/>
      <c r="H127" s="184"/>
      <c r="J127" s="115"/>
      <c r="Q127" s="184"/>
      <c r="S127" s="115"/>
      <c r="Z127" s="118"/>
    </row>
    <row r="128" spans="1:26" ht="12" customHeight="1" x14ac:dyDescent="0.3">
      <c r="A128" s="115"/>
      <c r="H128" s="184"/>
      <c r="J128" s="115"/>
      <c r="Q128" s="184"/>
      <c r="S128" s="115"/>
      <c r="Z128" s="118"/>
    </row>
    <row r="129" spans="1:26" ht="13.5" customHeight="1" x14ac:dyDescent="0.3">
      <c r="A129" s="115"/>
      <c r="H129" s="184"/>
      <c r="J129" s="115"/>
      <c r="Q129" s="184"/>
      <c r="S129" s="115"/>
      <c r="Z129" s="118"/>
    </row>
    <row r="130" spans="1:26" ht="13.65" customHeight="1" x14ac:dyDescent="0.3">
      <c r="A130" s="115"/>
      <c r="H130" s="184"/>
      <c r="J130" s="115"/>
      <c r="Q130" s="184"/>
      <c r="S130" s="115"/>
      <c r="Z130" s="118"/>
    </row>
    <row r="131" spans="1:26" ht="12" customHeight="1" x14ac:dyDescent="0.3">
      <c r="A131" s="115"/>
      <c r="H131" s="184"/>
      <c r="J131" s="115"/>
      <c r="Q131" s="184"/>
      <c r="S131" s="115"/>
      <c r="Z131" s="118"/>
    </row>
    <row r="132" spans="1:26" ht="13.65" customHeight="1" x14ac:dyDescent="0.3">
      <c r="A132" s="115"/>
      <c r="H132" s="184"/>
      <c r="J132" s="115"/>
      <c r="Q132" s="184"/>
      <c r="S132" s="115"/>
      <c r="Z132" s="118"/>
    </row>
    <row r="133" spans="1:26" ht="13.65" customHeight="1" x14ac:dyDescent="0.3">
      <c r="A133" s="115"/>
      <c r="H133" s="184"/>
      <c r="J133" s="115"/>
      <c r="Q133" s="184"/>
      <c r="S133" s="115"/>
      <c r="Z133" s="118"/>
    </row>
    <row r="134" spans="1:26" ht="13.65" customHeight="1" x14ac:dyDescent="0.3">
      <c r="A134" s="115"/>
      <c r="H134" s="184"/>
      <c r="J134" s="115"/>
      <c r="Q134" s="184"/>
      <c r="S134" s="115"/>
      <c r="Z134" s="118"/>
    </row>
    <row r="135" spans="1:26" ht="13.65" customHeight="1" x14ac:dyDescent="0.3">
      <c r="A135" s="115"/>
      <c r="H135" s="184"/>
      <c r="J135" s="115"/>
      <c r="Q135" s="184"/>
      <c r="S135" s="115"/>
      <c r="Z135" s="118"/>
    </row>
    <row r="136" spans="1:26" ht="13.65" customHeight="1" x14ac:dyDescent="0.3">
      <c r="A136" s="115"/>
      <c r="H136" s="184"/>
      <c r="J136" s="115"/>
      <c r="Q136" s="184"/>
      <c r="S136" s="115"/>
      <c r="Z136" s="118"/>
    </row>
    <row r="137" spans="1:26" ht="13.65" customHeight="1" x14ac:dyDescent="0.3">
      <c r="A137" s="115"/>
      <c r="H137" s="184"/>
      <c r="J137" s="115"/>
      <c r="Q137" s="184"/>
      <c r="S137" s="115"/>
      <c r="Z137" s="118"/>
    </row>
    <row r="138" spans="1:26" ht="13.65" customHeight="1" x14ac:dyDescent="0.3">
      <c r="A138" s="115"/>
      <c r="H138" s="184"/>
      <c r="J138" s="115"/>
      <c r="Q138" s="184"/>
      <c r="S138" s="115"/>
      <c r="Z138" s="118"/>
    </row>
    <row r="139" spans="1:26" ht="13.65" customHeight="1" x14ac:dyDescent="0.3">
      <c r="A139" s="115"/>
      <c r="H139" s="184"/>
      <c r="J139" s="115"/>
      <c r="Q139" s="184"/>
      <c r="S139" s="115"/>
      <c r="Z139" s="118"/>
    </row>
    <row r="140" spans="1:26" ht="13.65" customHeight="1" x14ac:dyDescent="0.3">
      <c r="A140" s="115"/>
      <c r="H140" s="184"/>
      <c r="J140" s="115"/>
      <c r="Q140" s="184"/>
      <c r="S140" s="115"/>
      <c r="Z140" s="118"/>
    </row>
    <row r="141" spans="1:26" ht="13.65" customHeight="1" x14ac:dyDescent="0.3">
      <c r="A141" s="115"/>
      <c r="H141" s="184"/>
      <c r="J141" s="115"/>
      <c r="Q141" s="184"/>
      <c r="S141" s="115"/>
      <c r="Z141" s="118"/>
    </row>
    <row r="142" spans="1:26" ht="13.65" customHeight="1" x14ac:dyDescent="0.3">
      <c r="A142" s="115"/>
      <c r="H142" s="184"/>
      <c r="J142" s="115"/>
      <c r="Q142" s="184"/>
      <c r="S142" s="115"/>
      <c r="Z142" s="118"/>
    </row>
    <row r="143" spans="1:26" ht="13.65" customHeight="1" x14ac:dyDescent="0.3">
      <c r="A143" s="115"/>
      <c r="H143" s="184"/>
      <c r="J143" s="115"/>
      <c r="Q143" s="184"/>
      <c r="S143" s="115"/>
      <c r="Z143" s="118"/>
    </row>
    <row r="144" spans="1:26" ht="13.65" customHeight="1" x14ac:dyDescent="0.3">
      <c r="A144" s="115"/>
      <c r="H144" s="184"/>
      <c r="J144" s="115"/>
      <c r="Q144" s="184"/>
      <c r="S144" s="115"/>
      <c r="Z144" s="118"/>
    </row>
    <row r="145" spans="1:26" ht="13.65" customHeight="1" x14ac:dyDescent="0.3">
      <c r="A145" s="115"/>
      <c r="H145" s="184"/>
      <c r="J145" s="115"/>
      <c r="Q145" s="184"/>
      <c r="S145" s="115"/>
      <c r="Z145" s="118"/>
    </row>
    <row r="146" spans="1:26" ht="13.65" customHeight="1" x14ac:dyDescent="0.3">
      <c r="A146" s="115"/>
      <c r="H146" s="184"/>
      <c r="J146" s="115"/>
      <c r="Q146" s="184"/>
      <c r="S146" s="115"/>
      <c r="Z146" s="118"/>
    </row>
    <row r="147" spans="1:26" ht="13.65" customHeight="1" x14ac:dyDescent="0.3">
      <c r="A147" s="115"/>
      <c r="H147" s="184"/>
      <c r="J147" s="115"/>
      <c r="Q147" s="184"/>
      <c r="S147" s="115"/>
      <c r="Z147" s="118"/>
    </row>
    <row r="148" spans="1:26" ht="13.65" customHeight="1" x14ac:dyDescent="0.3">
      <c r="A148" s="115"/>
      <c r="H148" s="184"/>
      <c r="J148" s="115"/>
      <c r="Q148" s="184"/>
      <c r="S148" s="115"/>
      <c r="Z148" s="118"/>
    </row>
    <row r="149" spans="1:26" ht="13.65" customHeight="1" x14ac:dyDescent="0.3">
      <c r="A149" s="115"/>
      <c r="H149" s="184"/>
      <c r="J149" s="115"/>
      <c r="Q149" s="184"/>
      <c r="S149" s="115"/>
      <c r="Z149" s="118"/>
    </row>
    <row r="150" spans="1:26" ht="13.5" customHeight="1" x14ac:dyDescent="0.3">
      <c r="A150" s="115"/>
      <c r="H150" s="184"/>
      <c r="J150" s="115"/>
      <c r="Q150" s="184"/>
      <c r="S150" s="115"/>
      <c r="Z150" s="118"/>
    </row>
    <row r="151" spans="1:26" ht="13.5" customHeight="1" x14ac:dyDescent="0.3">
      <c r="A151" s="115"/>
      <c r="H151" s="184"/>
      <c r="J151" s="115"/>
      <c r="Q151" s="184"/>
      <c r="S151" s="115"/>
      <c r="Z151" s="118"/>
    </row>
    <row r="152" spans="1:26" ht="13.5" customHeight="1" x14ac:dyDescent="0.3">
      <c r="A152" s="115"/>
      <c r="H152" s="184"/>
      <c r="J152" s="115"/>
      <c r="Q152" s="184"/>
      <c r="S152" s="115"/>
      <c r="Z152" s="118"/>
    </row>
  </sheetData>
  <mergeCells count="9">
    <mergeCell ref="S1:U1"/>
    <mergeCell ref="Z1:Z3"/>
    <mergeCell ref="S53:T53"/>
    <mergeCell ref="A1:C1"/>
    <mergeCell ref="H1:H3"/>
    <mergeCell ref="A53:B53"/>
    <mergeCell ref="J1:L1"/>
    <mergeCell ref="Q1:Q3"/>
    <mergeCell ref="J53:K5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6"/>
  <sheetViews>
    <sheetView workbookViewId="0">
      <selection sqref="A1:XFD1048576"/>
    </sheetView>
  </sheetViews>
  <sheetFormatPr defaultRowHeight="14.4" x14ac:dyDescent="0.3"/>
  <cols>
    <col min="1" max="1" width="8.88671875" style="163"/>
    <col min="2" max="2" width="4.5546875" style="163" bestFit="1" customWidth="1"/>
    <col min="3" max="3" width="8.88671875" style="163"/>
    <col min="4" max="4" width="12.33203125" style="163" bestFit="1" customWidth="1"/>
    <col min="5" max="5" width="8.88671875" style="163"/>
    <col min="6" max="6" width="10.109375" style="163" bestFit="1" customWidth="1"/>
    <col min="7" max="7" width="8.88671875" style="163"/>
    <col min="8" max="8" width="3.88671875" style="163" bestFit="1" customWidth="1"/>
    <col min="9" max="9" width="8.88671875" style="163"/>
    <col min="10" max="10" width="5.88671875" style="163" bestFit="1" customWidth="1"/>
    <col min="11" max="11" width="8.88671875" style="163"/>
    <col min="12" max="12" width="5.77734375" style="163" bestFit="1" customWidth="1"/>
    <col min="13" max="13" width="8.88671875" style="163"/>
    <col min="14" max="14" width="5.6640625" style="163" bestFit="1" customWidth="1"/>
    <col min="15" max="15" width="8.88671875" style="163"/>
    <col min="16" max="16" width="7.109375" style="163" bestFit="1" customWidth="1"/>
    <col min="17" max="17" width="8.88671875" style="163"/>
    <col min="18" max="18" width="12.33203125" style="163" bestFit="1" customWidth="1"/>
    <col min="19" max="19" width="8.88671875" style="163"/>
    <col min="20" max="20" width="4.5546875" style="163" bestFit="1" customWidth="1"/>
    <col min="21" max="21" width="8.88671875" style="163"/>
    <col min="22" max="22" width="6" style="163" bestFit="1" customWidth="1"/>
    <col min="23" max="23" width="8.88671875" style="163"/>
    <col min="24" max="24" width="16.21875" style="163" bestFit="1" customWidth="1"/>
    <col min="25" max="25" width="8.88671875" style="163"/>
    <col min="26" max="26" width="4.5546875" style="163" bestFit="1" customWidth="1"/>
    <col min="27" max="16384" width="8.88671875" style="163"/>
  </cols>
  <sheetData>
    <row r="1" spans="1:27" x14ac:dyDescent="0.3">
      <c r="A1" s="378"/>
      <c r="B1" s="161" t="s">
        <v>1</v>
      </c>
      <c r="C1" s="378"/>
      <c r="D1" s="162" t="s">
        <v>60</v>
      </c>
      <c r="E1" s="378"/>
      <c r="F1" s="162" t="s">
        <v>61</v>
      </c>
      <c r="G1" s="378"/>
      <c r="H1" s="161" t="s">
        <v>62</v>
      </c>
      <c r="I1" s="378"/>
      <c r="J1" s="162" t="s">
        <v>5</v>
      </c>
      <c r="K1" s="378"/>
      <c r="L1" s="162" t="s">
        <v>63</v>
      </c>
      <c r="M1" s="378"/>
      <c r="N1" s="162" t="s">
        <v>64</v>
      </c>
      <c r="O1" s="378"/>
      <c r="P1" s="162" t="s">
        <v>65</v>
      </c>
      <c r="Q1" s="378"/>
      <c r="R1" s="162" t="s">
        <v>66</v>
      </c>
      <c r="S1" s="378"/>
      <c r="T1" s="161" t="s">
        <v>67</v>
      </c>
      <c r="U1" s="378"/>
      <c r="V1" s="161" t="s">
        <v>68</v>
      </c>
      <c r="W1" s="378"/>
      <c r="X1" s="162" t="s">
        <v>69</v>
      </c>
      <c r="Y1" s="378"/>
      <c r="Z1" s="162" t="s">
        <v>70</v>
      </c>
      <c r="AA1" s="378"/>
    </row>
    <row r="2" spans="1:27" x14ac:dyDescent="0.3">
      <c r="A2" s="378"/>
      <c r="B2" s="164"/>
      <c r="C2" s="378"/>
      <c r="D2" s="164"/>
      <c r="E2" s="378"/>
      <c r="F2" s="164"/>
      <c r="G2" s="378"/>
      <c r="H2" s="164"/>
      <c r="I2" s="378"/>
      <c r="J2" s="164"/>
      <c r="K2" s="378"/>
      <c r="L2" s="164"/>
      <c r="M2" s="378"/>
      <c r="N2" s="164"/>
      <c r="O2" s="378"/>
      <c r="P2" s="164"/>
      <c r="Q2" s="378"/>
      <c r="R2" s="162" t="s">
        <v>71</v>
      </c>
      <c r="S2" s="378"/>
      <c r="T2" s="164"/>
      <c r="U2" s="378"/>
      <c r="V2" s="164"/>
      <c r="W2" s="378"/>
      <c r="X2" s="164"/>
      <c r="Y2" s="378"/>
      <c r="Z2" s="164"/>
      <c r="AA2" s="378"/>
    </row>
    <row r="3" spans="1:27" x14ac:dyDescent="0.3">
      <c r="A3" s="165"/>
      <c r="B3" s="379">
        <v>21</v>
      </c>
      <c r="C3" s="165"/>
      <c r="D3" s="377" t="s">
        <v>121</v>
      </c>
      <c r="E3" s="165"/>
      <c r="F3" s="380">
        <v>44716</v>
      </c>
      <c r="G3" s="165"/>
      <c r="H3" s="166" t="s">
        <v>57</v>
      </c>
      <c r="I3" s="165"/>
      <c r="J3" s="377" t="s">
        <v>56</v>
      </c>
      <c r="K3" s="165"/>
      <c r="L3" s="167">
        <v>0</v>
      </c>
      <c r="M3" s="165"/>
      <c r="N3" s="381">
        <v>0</v>
      </c>
      <c r="O3" s="165"/>
      <c r="P3" s="377" t="s">
        <v>14</v>
      </c>
      <c r="Q3" s="165"/>
      <c r="R3" s="378"/>
      <c r="S3" s="165"/>
      <c r="T3" s="379">
        <v>2</v>
      </c>
      <c r="U3" s="165"/>
      <c r="V3" s="379">
        <v>0</v>
      </c>
      <c r="W3" s="165"/>
      <c r="X3" s="378"/>
      <c r="Y3" s="165"/>
      <c r="Z3" s="378"/>
      <c r="AA3" s="165"/>
    </row>
    <row r="4" spans="1:27" x14ac:dyDescent="0.3">
      <c r="A4" s="303"/>
      <c r="B4" s="379"/>
      <c r="C4" s="303"/>
      <c r="D4" s="377"/>
      <c r="E4" s="303"/>
      <c r="F4" s="380"/>
      <c r="G4" s="303"/>
      <c r="H4" s="303"/>
      <c r="I4" s="303"/>
      <c r="J4" s="377"/>
      <c r="K4" s="303"/>
      <c r="L4" s="303"/>
      <c r="M4" s="303"/>
      <c r="N4" s="381"/>
      <c r="O4" s="303"/>
      <c r="P4" s="377"/>
      <c r="Q4" s="303"/>
      <c r="R4" s="378"/>
      <c r="S4" s="303"/>
      <c r="T4" s="379"/>
      <c r="U4" s="303"/>
      <c r="V4" s="379"/>
      <c r="W4" s="303"/>
      <c r="X4" s="378"/>
      <c r="Y4" s="303"/>
      <c r="Z4" s="378"/>
      <c r="AA4" s="303"/>
    </row>
    <row r="5" spans="1:27" x14ac:dyDescent="0.3">
      <c r="A5" s="165"/>
      <c r="B5" s="379">
        <v>24</v>
      </c>
      <c r="C5" s="165"/>
      <c r="D5" s="377" t="s">
        <v>102</v>
      </c>
      <c r="E5" s="165"/>
      <c r="F5" s="380">
        <v>44716</v>
      </c>
      <c r="G5" s="165"/>
      <c r="H5" s="166" t="s">
        <v>12</v>
      </c>
      <c r="I5" s="165"/>
      <c r="J5" s="377" t="s">
        <v>122</v>
      </c>
      <c r="K5" s="165"/>
      <c r="L5" s="167">
        <v>0.21875</v>
      </c>
      <c r="M5" s="165"/>
      <c r="N5" s="381">
        <v>0.29166666666666669</v>
      </c>
      <c r="O5" s="165"/>
      <c r="P5" s="377" t="s">
        <v>14</v>
      </c>
      <c r="Q5" s="165"/>
      <c r="R5" s="378"/>
      <c r="S5" s="165"/>
      <c r="T5" s="379">
        <v>2</v>
      </c>
      <c r="U5" s="165"/>
      <c r="V5" s="379">
        <v>0</v>
      </c>
      <c r="W5" s="165"/>
      <c r="X5" s="377" t="s">
        <v>100</v>
      </c>
      <c r="Y5" s="165"/>
      <c r="Z5" s="378"/>
      <c r="AA5" s="165"/>
    </row>
    <row r="6" spans="1:27" x14ac:dyDescent="0.3">
      <c r="A6" s="303"/>
      <c r="B6" s="379"/>
      <c r="C6" s="303"/>
      <c r="D6" s="377"/>
      <c r="E6" s="303"/>
      <c r="F6" s="380"/>
      <c r="G6" s="303"/>
      <c r="H6" s="303"/>
      <c r="I6" s="303"/>
      <c r="J6" s="377"/>
      <c r="K6" s="303"/>
      <c r="L6" s="303"/>
      <c r="M6" s="303"/>
      <c r="N6" s="381"/>
      <c r="O6" s="303"/>
      <c r="P6" s="377"/>
      <c r="Q6" s="303"/>
      <c r="R6" s="378"/>
      <c r="S6" s="303"/>
      <c r="T6" s="379"/>
      <c r="U6" s="303"/>
      <c r="V6" s="379"/>
      <c r="W6" s="303"/>
      <c r="X6" s="377"/>
      <c r="Y6" s="303"/>
      <c r="Z6" s="378"/>
      <c r="AA6" s="303"/>
    </row>
    <row r="7" spans="1:27" x14ac:dyDescent="0.3">
      <c r="A7" s="165"/>
      <c r="B7" s="379">
        <v>23</v>
      </c>
      <c r="C7" s="165"/>
      <c r="D7" s="377" t="s">
        <v>99</v>
      </c>
      <c r="E7" s="165"/>
      <c r="F7" s="380">
        <v>44716</v>
      </c>
      <c r="G7" s="165"/>
      <c r="H7" s="166" t="s">
        <v>12</v>
      </c>
      <c r="I7" s="165"/>
      <c r="J7" s="377" t="s">
        <v>122</v>
      </c>
      <c r="K7" s="165"/>
      <c r="L7" s="167">
        <v>0.21875</v>
      </c>
      <c r="M7" s="165"/>
      <c r="N7" s="381">
        <v>0.29166666666666669</v>
      </c>
      <c r="O7" s="165"/>
      <c r="P7" s="377" t="s">
        <v>14</v>
      </c>
      <c r="Q7" s="165"/>
      <c r="R7" s="377" t="s">
        <v>123</v>
      </c>
      <c r="S7" s="165"/>
      <c r="T7" s="379">
        <v>2</v>
      </c>
      <c r="U7" s="165"/>
      <c r="V7" s="379">
        <v>0</v>
      </c>
      <c r="W7" s="165"/>
      <c r="X7" s="377" t="s">
        <v>100</v>
      </c>
      <c r="Y7" s="165"/>
      <c r="Z7" s="378"/>
      <c r="AA7" s="165"/>
    </row>
    <row r="8" spans="1:27" x14ac:dyDescent="0.3">
      <c r="A8" s="303"/>
      <c r="B8" s="379"/>
      <c r="C8" s="303"/>
      <c r="D8" s="377"/>
      <c r="E8" s="303"/>
      <c r="F8" s="380"/>
      <c r="G8" s="303"/>
      <c r="H8" s="303"/>
      <c r="I8" s="303"/>
      <c r="J8" s="377"/>
      <c r="K8" s="303"/>
      <c r="L8" s="303"/>
      <c r="M8" s="303"/>
      <c r="N8" s="381"/>
      <c r="O8" s="303"/>
      <c r="P8" s="377"/>
      <c r="Q8" s="303"/>
      <c r="R8" s="377"/>
      <c r="S8" s="303"/>
      <c r="T8" s="379"/>
      <c r="U8" s="303"/>
      <c r="V8" s="379"/>
      <c r="W8" s="303"/>
      <c r="X8" s="377"/>
      <c r="Y8" s="303"/>
      <c r="Z8" s="378"/>
      <c r="AA8" s="303"/>
    </row>
    <row r="9" spans="1:27" x14ac:dyDescent="0.3">
      <c r="A9" s="165"/>
      <c r="B9" s="379">
        <v>22</v>
      </c>
      <c r="C9" s="165"/>
      <c r="D9" s="377" t="s">
        <v>101</v>
      </c>
      <c r="E9" s="165"/>
      <c r="F9" s="380">
        <v>44716</v>
      </c>
      <c r="G9" s="165"/>
      <c r="H9" s="166" t="s">
        <v>12</v>
      </c>
      <c r="I9" s="165"/>
      <c r="J9" s="377" t="s">
        <v>122</v>
      </c>
      <c r="K9" s="165"/>
      <c r="L9" s="167">
        <v>0.22916666666666666</v>
      </c>
      <c r="M9" s="165"/>
      <c r="N9" s="381">
        <v>0.29166666666666669</v>
      </c>
      <c r="O9" s="165"/>
      <c r="P9" s="377" t="s">
        <v>14</v>
      </c>
      <c r="Q9" s="165"/>
      <c r="R9" s="377" t="s">
        <v>13</v>
      </c>
      <c r="S9" s="165"/>
      <c r="T9" s="379">
        <v>2</v>
      </c>
      <c r="U9" s="165"/>
      <c r="V9" s="379">
        <v>0</v>
      </c>
      <c r="W9" s="165"/>
      <c r="X9" s="378"/>
      <c r="Y9" s="165"/>
      <c r="Z9" s="378"/>
      <c r="AA9" s="165"/>
    </row>
    <row r="10" spans="1:27" x14ac:dyDescent="0.3">
      <c r="A10" s="303"/>
      <c r="B10" s="379"/>
      <c r="C10" s="303"/>
      <c r="D10" s="377"/>
      <c r="E10" s="303"/>
      <c r="F10" s="380"/>
      <c r="G10" s="303"/>
      <c r="H10" s="303"/>
      <c r="I10" s="303"/>
      <c r="J10" s="377"/>
      <c r="K10" s="303"/>
      <c r="L10" s="303"/>
      <c r="M10" s="303"/>
      <c r="N10" s="381"/>
      <c r="O10" s="303"/>
      <c r="P10" s="377"/>
      <c r="Q10" s="303"/>
      <c r="R10" s="377"/>
      <c r="S10" s="303"/>
      <c r="T10" s="379"/>
      <c r="U10" s="303"/>
      <c r="V10" s="379"/>
      <c r="W10" s="303"/>
      <c r="X10" s="378"/>
      <c r="Y10" s="303"/>
      <c r="Z10" s="378"/>
      <c r="AA10" s="303"/>
    </row>
    <row r="11" spans="1:27" x14ac:dyDescent="0.3">
      <c r="A11" s="165"/>
      <c r="B11" s="379">
        <v>27</v>
      </c>
      <c r="C11" s="165"/>
      <c r="D11" s="377" t="s">
        <v>124</v>
      </c>
      <c r="E11" s="165"/>
      <c r="F11" s="380">
        <v>44716</v>
      </c>
      <c r="G11" s="165"/>
      <c r="H11" s="166" t="s">
        <v>12</v>
      </c>
      <c r="I11" s="165"/>
      <c r="J11" s="377" t="s">
        <v>125</v>
      </c>
      <c r="K11" s="165"/>
      <c r="L11" s="167">
        <v>0.54166666666666663</v>
      </c>
      <c r="M11" s="165"/>
      <c r="N11" s="381">
        <v>0.62152777777777779</v>
      </c>
      <c r="O11" s="165"/>
      <c r="P11" s="377" t="s">
        <v>14</v>
      </c>
      <c r="Q11" s="165"/>
      <c r="R11" s="378"/>
      <c r="S11" s="165"/>
      <c r="T11" s="379">
        <v>2</v>
      </c>
      <c r="U11" s="165"/>
      <c r="V11" s="379">
        <v>0</v>
      </c>
      <c r="W11" s="165"/>
      <c r="X11" s="378"/>
      <c r="Y11" s="165"/>
      <c r="Z11" s="378"/>
      <c r="AA11" s="165"/>
    </row>
    <row r="12" spans="1:27" x14ac:dyDescent="0.3">
      <c r="A12" s="303"/>
      <c r="B12" s="379"/>
      <c r="C12" s="303"/>
      <c r="D12" s="377"/>
      <c r="E12" s="303"/>
      <c r="F12" s="380"/>
      <c r="G12" s="303"/>
      <c r="H12" s="303"/>
      <c r="I12" s="303"/>
      <c r="J12" s="377"/>
      <c r="K12" s="303"/>
      <c r="L12" s="303"/>
      <c r="M12" s="303"/>
      <c r="N12" s="381"/>
      <c r="O12" s="303"/>
      <c r="P12" s="377"/>
      <c r="Q12" s="303"/>
      <c r="R12" s="378"/>
      <c r="S12" s="303"/>
      <c r="T12" s="379"/>
      <c r="U12" s="303"/>
      <c r="V12" s="379"/>
      <c r="W12" s="303"/>
      <c r="X12" s="378"/>
      <c r="Y12" s="303"/>
      <c r="Z12" s="378"/>
      <c r="AA12" s="303"/>
    </row>
    <row r="13" spans="1:27" x14ac:dyDescent="0.3">
      <c r="A13" s="165"/>
      <c r="B13" s="379">
        <v>29</v>
      </c>
      <c r="C13" s="165"/>
      <c r="D13" s="377" t="s">
        <v>126</v>
      </c>
      <c r="E13" s="165"/>
      <c r="F13" s="380">
        <v>44716</v>
      </c>
      <c r="G13" s="165"/>
      <c r="H13" s="168"/>
      <c r="I13" s="165"/>
      <c r="J13" s="378"/>
      <c r="K13" s="165"/>
      <c r="L13" s="167">
        <v>0</v>
      </c>
      <c r="M13" s="165"/>
      <c r="N13" s="378"/>
      <c r="O13" s="165"/>
      <c r="P13" s="377" t="s">
        <v>14</v>
      </c>
      <c r="Q13" s="165"/>
      <c r="R13" s="378"/>
      <c r="S13" s="165"/>
      <c r="T13" s="379">
        <v>2</v>
      </c>
      <c r="U13" s="165"/>
      <c r="V13" s="379">
        <v>0</v>
      </c>
      <c r="W13" s="165"/>
      <c r="X13" s="378"/>
      <c r="Y13" s="165"/>
      <c r="Z13" s="378"/>
      <c r="AA13" s="165"/>
    </row>
    <row r="14" spans="1:27" x14ac:dyDescent="0.3">
      <c r="A14" s="303"/>
      <c r="B14" s="379"/>
      <c r="C14" s="303"/>
      <c r="D14" s="377"/>
      <c r="E14" s="303"/>
      <c r="F14" s="380"/>
      <c r="G14" s="303"/>
      <c r="H14" s="303"/>
      <c r="I14" s="303"/>
      <c r="J14" s="378"/>
      <c r="K14" s="303"/>
      <c r="L14" s="303"/>
      <c r="M14" s="303"/>
      <c r="N14" s="378"/>
      <c r="O14" s="303"/>
      <c r="P14" s="377"/>
      <c r="Q14" s="303"/>
      <c r="R14" s="378"/>
      <c r="S14" s="303"/>
      <c r="T14" s="379"/>
      <c r="U14" s="303"/>
      <c r="V14" s="379"/>
      <c r="W14" s="303"/>
      <c r="X14" s="378"/>
      <c r="Y14" s="303"/>
      <c r="Z14" s="378"/>
      <c r="AA14" s="303"/>
    </row>
    <row r="15" spans="1:27" x14ac:dyDescent="0.3">
      <c r="A15" s="165"/>
      <c r="B15" s="379">
        <v>6</v>
      </c>
      <c r="C15" s="165"/>
      <c r="D15" s="377" t="s">
        <v>127</v>
      </c>
      <c r="E15" s="165"/>
      <c r="F15" s="380">
        <v>44716</v>
      </c>
      <c r="G15" s="165"/>
      <c r="H15" s="166" t="s">
        <v>57</v>
      </c>
      <c r="I15" s="165"/>
      <c r="J15" s="377" t="s">
        <v>56</v>
      </c>
      <c r="K15" s="165"/>
      <c r="L15" s="167">
        <v>0.5</v>
      </c>
      <c r="M15" s="165"/>
      <c r="N15" s="378"/>
      <c r="O15" s="165"/>
      <c r="P15" s="377" t="s">
        <v>14</v>
      </c>
      <c r="Q15" s="165"/>
      <c r="R15" s="378"/>
      <c r="S15" s="165"/>
      <c r="T15" s="379">
        <v>2</v>
      </c>
      <c r="U15" s="165"/>
      <c r="V15" s="379">
        <v>0</v>
      </c>
      <c r="W15" s="165"/>
      <c r="X15" s="378"/>
      <c r="Y15" s="165"/>
      <c r="Z15" s="378"/>
      <c r="AA15" s="165"/>
    </row>
    <row r="16" spans="1:27" x14ac:dyDescent="0.3">
      <c r="A16" s="303"/>
      <c r="B16" s="379"/>
      <c r="C16" s="303"/>
      <c r="D16" s="377"/>
      <c r="E16" s="303"/>
      <c r="F16" s="380"/>
      <c r="G16" s="303"/>
      <c r="H16" s="303"/>
      <c r="I16" s="303"/>
      <c r="J16" s="377"/>
      <c r="K16" s="303"/>
      <c r="L16" s="303"/>
      <c r="M16" s="303"/>
      <c r="N16" s="378"/>
      <c r="O16" s="303"/>
      <c r="P16" s="377"/>
      <c r="Q16" s="303"/>
      <c r="R16" s="378"/>
      <c r="S16" s="303"/>
      <c r="T16" s="379"/>
      <c r="U16" s="303"/>
      <c r="V16" s="379"/>
      <c r="W16" s="303"/>
      <c r="X16" s="378"/>
      <c r="Y16" s="303"/>
      <c r="Z16" s="378"/>
      <c r="AA16" s="303"/>
    </row>
  </sheetData>
  <mergeCells count="91">
    <mergeCell ref="Z15:Z16"/>
    <mergeCell ref="P15:P16"/>
    <mergeCell ref="R15:R16"/>
    <mergeCell ref="T15:T16"/>
    <mergeCell ref="V15:V16"/>
    <mergeCell ref="X15:X16"/>
    <mergeCell ref="B15:B16"/>
    <mergeCell ref="D15:D16"/>
    <mergeCell ref="F15:F16"/>
    <mergeCell ref="J15:J16"/>
    <mergeCell ref="N15:N16"/>
    <mergeCell ref="AA1:AA2"/>
    <mergeCell ref="B3:B4"/>
    <mergeCell ref="D3:D4"/>
    <mergeCell ref="F3:F4"/>
    <mergeCell ref="J3:J4"/>
    <mergeCell ref="N3:N4"/>
    <mergeCell ref="P3:P4"/>
    <mergeCell ref="R3:R4"/>
    <mergeCell ref="T3:T4"/>
    <mergeCell ref="M1:M2"/>
    <mergeCell ref="O1:O2"/>
    <mergeCell ref="Q1:Q2"/>
    <mergeCell ref="S1:S2"/>
    <mergeCell ref="U1:U2"/>
    <mergeCell ref="W1:W2"/>
    <mergeCell ref="K1:K2"/>
    <mergeCell ref="Z3:Z4"/>
    <mergeCell ref="F5:F6"/>
    <mergeCell ref="J5:J6"/>
    <mergeCell ref="N5:N6"/>
    <mergeCell ref="P5:P6"/>
    <mergeCell ref="R5:R6"/>
    <mergeCell ref="T5:T6"/>
    <mergeCell ref="V5:V6"/>
    <mergeCell ref="X5:X6"/>
    <mergeCell ref="Z5:Z6"/>
    <mergeCell ref="E1:E2"/>
    <mergeCell ref="G1:G2"/>
    <mergeCell ref="I1:I2"/>
    <mergeCell ref="V3:V4"/>
    <mergeCell ref="X3:X4"/>
    <mergeCell ref="B5:B6"/>
    <mergeCell ref="D5:D6"/>
    <mergeCell ref="B7:B8"/>
    <mergeCell ref="D7:D8"/>
    <mergeCell ref="A1:A2"/>
    <mergeCell ref="C1:C2"/>
    <mergeCell ref="B9:B10"/>
    <mergeCell ref="D9:D10"/>
    <mergeCell ref="F9:F10"/>
    <mergeCell ref="J9:J10"/>
    <mergeCell ref="N9:N10"/>
    <mergeCell ref="V9:V10"/>
    <mergeCell ref="X9:X10"/>
    <mergeCell ref="Y1:Y2"/>
    <mergeCell ref="F7:F8"/>
    <mergeCell ref="J7:J8"/>
    <mergeCell ref="N7:N8"/>
    <mergeCell ref="P7:P8"/>
    <mergeCell ref="R7:R8"/>
    <mergeCell ref="T7:T8"/>
    <mergeCell ref="V7:V8"/>
    <mergeCell ref="X7:X8"/>
    <mergeCell ref="Z7:Z8"/>
    <mergeCell ref="B13:B14"/>
    <mergeCell ref="D13:D14"/>
    <mergeCell ref="F13:F14"/>
    <mergeCell ref="J13:J14"/>
    <mergeCell ref="N13:N14"/>
    <mergeCell ref="B11:B12"/>
    <mergeCell ref="D11:D12"/>
    <mergeCell ref="F11:F12"/>
    <mergeCell ref="J11:J12"/>
    <mergeCell ref="N11:N12"/>
    <mergeCell ref="P11:P12"/>
    <mergeCell ref="P9:P10"/>
    <mergeCell ref="Z13:Z14"/>
    <mergeCell ref="R11:R12"/>
    <mergeCell ref="T11:T12"/>
    <mergeCell ref="V11:V12"/>
    <mergeCell ref="X11:X12"/>
    <mergeCell ref="Z11:Z12"/>
    <mergeCell ref="R13:R14"/>
    <mergeCell ref="T13:T14"/>
    <mergeCell ref="V13:V14"/>
    <mergeCell ref="X13:X14"/>
    <mergeCell ref="P13:P14"/>
    <mergeCell ref="Z9:Z10"/>
    <mergeCell ref="R9:R10"/>
    <mergeCell ref="T9:T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14"/>
  <sheetViews>
    <sheetView workbookViewId="0">
      <selection sqref="A1:XFD1048576"/>
    </sheetView>
  </sheetViews>
  <sheetFormatPr defaultRowHeight="14.4" x14ac:dyDescent="0.3"/>
  <cols>
    <col min="1" max="1" width="8.88671875" style="163"/>
    <col min="2" max="2" width="4.5546875" style="163" bestFit="1" customWidth="1"/>
    <col min="3" max="3" width="8.88671875" style="163"/>
    <col min="4" max="4" width="13.5546875" style="163" bestFit="1" customWidth="1"/>
    <col min="5" max="5" width="8.88671875" style="163"/>
    <col min="6" max="6" width="7.6640625" style="163" bestFit="1" customWidth="1"/>
    <col min="7" max="7" width="8.88671875" style="163"/>
    <col min="8" max="8" width="3.88671875" style="163" bestFit="1" customWidth="1"/>
    <col min="9" max="9" width="8.88671875" style="163"/>
    <col min="10" max="10" width="5.6640625" style="163" bestFit="1" customWidth="1"/>
    <col min="11" max="11" width="8.88671875" style="163"/>
    <col min="12" max="12" width="5.44140625" style="163" bestFit="1" customWidth="1"/>
    <col min="13" max="13" width="8.88671875" style="163"/>
    <col min="14" max="14" width="7.109375" style="163" bestFit="1" customWidth="1"/>
    <col min="15" max="15" width="8.88671875" style="163"/>
    <col min="16" max="16" width="10.88671875" style="163" bestFit="1" customWidth="1"/>
    <col min="17" max="17" width="8.88671875" style="163"/>
    <col min="18" max="18" width="4.5546875" style="163" bestFit="1" customWidth="1"/>
    <col min="19" max="19" width="8.88671875" style="163"/>
    <col min="20" max="20" width="6" style="163" bestFit="1" customWidth="1"/>
    <col min="21" max="21" width="8.88671875" style="163"/>
    <col min="22" max="22" width="3.77734375" style="163" bestFit="1" customWidth="1"/>
    <col min="23" max="23" width="8.88671875" style="163"/>
    <col min="24" max="24" width="4.5546875" style="163" bestFit="1" customWidth="1"/>
    <col min="25" max="16384" width="8.88671875" style="163"/>
  </cols>
  <sheetData>
    <row r="1" spans="1:24" x14ac:dyDescent="0.3">
      <c r="A1" s="378"/>
      <c r="B1" s="161" t="s">
        <v>1</v>
      </c>
      <c r="C1" s="378"/>
      <c r="D1" s="162" t="s">
        <v>60</v>
      </c>
      <c r="E1" s="378"/>
      <c r="F1" s="162" t="s">
        <v>58</v>
      </c>
      <c r="G1" s="378"/>
      <c r="H1" s="162" t="s">
        <v>62</v>
      </c>
      <c r="I1" s="378"/>
      <c r="J1" s="162" t="s">
        <v>5</v>
      </c>
      <c r="K1" s="378"/>
      <c r="L1" s="162" t="s">
        <v>72</v>
      </c>
      <c r="M1" s="378"/>
      <c r="N1" s="162" t="s">
        <v>65</v>
      </c>
      <c r="O1" s="378"/>
      <c r="P1" s="162" t="s">
        <v>73</v>
      </c>
      <c r="Q1" s="378"/>
      <c r="R1" s="161" t="s">
        <v>67</v>
      </c>
      <c r="S1" s="378"/>
      <c r="T1" s="161" t="s">
        <v>68</v>
      </c>
      <c r="U1" s="378"/>
      <c r="V1" s="162" t="s">
        <v>69</v>
      </c>
      <c r="W1" s="378"/>
      <c r="X1" s="162" t="s">
        <v>70</v>
      </c>
    </row>
    <row r="2" spans="1:24" x14ac:dyDescent="0.3">
      <c r="A2" s="378"/>
      <c r="B2" s="164"/>
      <c r="C2" s="378"/>
      <c r="D2" s="164"/>
      <c r="E2" s="378"/>
      <c r="F2" s="164"/>
      <c r="G2" s="378"/>
      <c r="H2" s="164"/>
      <c r="I2" s="378"/>
      <c r="J2" s="164"/>
      <c r="K2" s="378"/>
      <c r="L2" s="164"/>
      <c r="M2" s="378"/>
      <c r="N2" s="164"/>
      <c r="O2" s="378"/>
      <c r="P2" s="164"/>
      <c r="Q2" s="378"/>
      <c r="R2" s="164"/>
      <c r="S2" s="378"/>
      <c r="T2" s="164"/>
      <c r="U2" s="378"/>
      <c r="V2" s="164"/>
      <c r="W2" s="378"/>
      <c r="X2" s="164"/>
    </row>
    <row r="3" spans="1:24" x14ac:dyDescent="0.3">
      <c r="A3" s="169"/>
      <c r="B3" s="170">
        <v>31</v>
      </c>
      <c r="C3" s="169"/>
      <c r="D3" s="382" t="s">
        <v>92</v>
      </c>
      <c r="E3" s="169"/>
      <c r="F3" s="383">
        <v>44685</v>
      </c>
      <c r="G3" s="169"/>
      <c r="H3" s="169" t="s">
        <v>57</v>
      </c>
      <c r="I3" s="169"/>
      <c r="J3" s="382" t="s">
        <v>82</v>
      </c>
      <c r="K3" s="169"/>
      <c r="L3" s="384">
        <v>0.61111111111111105</v>
      </c>
      <c r="M3" s="169"/>
      <c r="N3" s="382" t="s">
        <v>14</v>
      </c>
      <c r="O3" s="169"/>
      <c r="P3" s="382" t="s">
        <v>93</v>
      </c>
      <c r="Q3" s="169"/>
      <c r="R3" s="385">
        <v>2</v>
      </c>
      <c r="S3" s="169"/>
      <c r="T3" s="385">
        <v>1</v>
      </c>
      <c r="U3" s="169"/>
      <c r="V3" s="378"/>
      <c r="W3" s="169"/>
      <c r="X3" s="378"/>
    </row>
    <row r="4" spans="1:24" x14ac:dyDescent="0.3">
      <c r="A4" s="278"/>
      <c r="B4" s="278"/>
      <c r="C4" s="278"/>
      <c r="D4" s="382"/>
      <c r="E4" s="278"/>
      <c r="F4" s="383"/>
      <c r="G4" s="278"/>
      <c r="H4" s="278"/>
      <c r="I4" s="278"/>
      <c r="J4" s="382"/>
      <c r="K4" s="278"/>
      <c r="L4" s="384"/>
      <c r="M4" s="278"/>
      <c r="N4" s="382"/>
      <c r="O4" s="278"/>
      <c r="P4" s="382"/>
      <c r="Q4" s="278"/>
      <c r="R4" s="385"/>
      <c r="S4" s="278"/>
      <c r="T4" s="385"/>
      <c r="U4" s="278"/>
      <c r="V4" s="378"/>
      <c r="W4" s="278"/>
      <c r="X4" s="378"/>
    </row>
    <row r="5" spans="1:24" x14ac:dyDescent="0.3">
      <c r="A5" s="169"/>
      <c r="B5" s="170">
        <v>34</v>
      </c>
      <c r="C5" s="169"/>
      <c r="D5" s="382" t="s">
        <v>94</v>
      </c>
      <c r="E5" s="169"/>
      <c r="F5" s="383">
        <v>44685</v>
      </c>
      <c r="G5" s="169"/>
      <c r="H5" s="169" t="s">
        <v>57</v>
      </c>
      <c r="I5" s="169"/>
      <c r="J5" s="382" t="s">
        <v>74</v>
      </c>
      <c r="K5" s="169"/>
      <c r="L5" s="384">
        <v>0.8652777777777777</v>
      </c>
      <c r="M5" s="169"/>
      <c r="N5" s="382" t="s">
        <v>14</v>
      </c>
      <c r="O5" s="169"/>
      <c r="P5" s="378"/>
      <c r="Q5" s="169"/>
      <c r="R5" s="385">
        <v>2</v>
      </c>
      <c r="S5" s="169"/>
      <c r="T5" s="385">
        <v>0</v>
      </c>
      <c r="U5" s="169"/>
      <c r="V5" s="378"/>
      <c r="W5" s="169"/>
      <c r="X5" s="378"/>
    </row>
    <row r="6" spans="1:24" x14ac:dyDescent="0.3">
      <c r="A6" s="278"/>
      <c r="B6" s="278"/>
      <c r="C6" s="278"/>
      <c r="D6" s="382"/>
      <c r="E6" s="278"/>
      <c r="F6" s="383"/>
      <c r="G6" s="278"/>
      <c r="H6" s="278"/>
      <c r="I6" s="278"/>
      <c r="J6" s="382"/>
      <c r="K6" s="278"/>
      <c r="L6" s="384"/>
      <c r="M6" s="278"/>
      <c r="N6" s="382"/>
      <c r="O6" s="278"/>
      <c r="P6" s="378"/>
      <c r="Q6" s="278"/>
      <c r="R6" s="385"/>
      <c r="S6" s="278"/>
      <c r="T6" s="385"/>
      <c r="U6" s="278"/>
      <c r="V6" s="378"/>
      <c r="W6" s="278"/>
      <c r="X6" s="378"/>
    </row>
    <row r="7" spans="1:24" x14ac:dyDescent="0.3">
      <c r="A7" s="169"/>
      <c r="B7" s="170">
        <v>33</v>
      </c>
      <c r="C7" s="169"/>
      <c r="D7" s="382" t="s">
        <v>94</v>
      </c>
      <c r="E7" s="169"/>
      <c r="F7" s="383">
        <v>44685</v>
      </c>
      <c r="G7" s="169"/>
      <c r="H7" s="169" t="s">
        <v>57</v>
      </c>
      <c r="I7" s="169"/>
      <c r="J7" s="382" t="s">
        <v>56</v>
      </c>
      <c r="K7" s="169"/>
      <c r="L7" s="378"/>
      <c r="M7" s="169"/>
      <c r="N7" s="382" t="s">
        <v>14</v>
      </c>
      <c r="O7" s="169"/>
      <c r="P7" s="378"/>
      <c r="Q7" s="169"/>
      <c r="R7" s="385">
        <v>2</v>
      </c>
      <c r="S7" s="169"/>
      <c r="T7" s="385">
        <v>0</v>
      </c>
      <c r="U7" s="169"/>
      <c r="V7" s="378"/>
      <c r="W7" s="169"/>
      <c r="X7" s="378"/>
    </row>
    <row r="8" spans="1:24" x14ac:dyDescent="0.3">
      <c r="A8" s="278"/>
      <c r="B8" s="278"/>
      <c r="C8" s="278"/>
      <c r="D8" s="382"/>
      <c r="E8" s="278"/>
      <c r="F8" s="383"/>
      <c r="G8" s="278"/>
      <c r="H8" s="278"/>
      <c r="I8" s="278"/>
      <c r="J8" s="382"/>
      <c r="K8" s="278"/>
      <c r="L8" s="378"/>
      <c r="M8" s="278"/>
      <c r="N8" s="382"/>
      <c r="O8" s="278"/>
      <c r="P8" s="378"/>
      <c r="Q8" s="278"/>
      <c r="R8" s="385"/>
      <c r="S8" s="278"/>
      <c r="T8" s="385"/>
      <c r="U8" s="278"/>
      <c r="V8" s="378"/>
      <c r="W8" s="278"/>
      <c r="X8" s="378"/>
    </row>
    <row r="9" spans="1:24" x14ac:dyDescent="0.3">
      <c r="A9" s="169"/>
      <c r="B9" s="170">
        <v>1</v>
      </c>
      <c r="C9" s="169"/>
      <c r="D9" s="382" t="s">
        <v>95</v>
      </c>
      <c r="E9" s="169"/>
      <c r="F9" s="383">
        <v>44685</v>
      </c>
      <c r="G9" s="169"/>
      <c r="H9" s="278"/>
      <c r="I9" s="169"/>
      <c r="J9" s="378"/>
      <c r="K9" s="169"/>
      <c r="L9" s="378"/>
      <c r="M9" s="169"/>
      <c r="N9" s="382" t="s">
        <v>14</v>
      </c>
      <c r="O9" s="169"/>
      <c r="P9" s="378"/>
      <c r="Q9" s="169"/>
      <c r="R9" s="385">
        <v>2</v>
      </c>
      <c r="S9" s="169"/>
      <c r="T9" s="385">
        <v>0</v>
      </c>
      <c r="U9" s="169"/>
      <c r="V9" s="378"/>
      <c r="W9" s="169"/>
      <c r="X9" s="378"/>
    </row>
    <row r="10" spans="1:24" x14ac:dyDescent="0.3">
      <c r="A10" s="278"/>
      <c r="B10" s="278"/>
      <c r="C10" s="278"/>
      <c r="D10" s="382"/>
      <c r="E10" s="278"/>
      <c r="F10" s="383"/>
      <c r="G10" s="278"/>
      <c r="H10" s="278"/>
      <c r="I10" s="278"/>
      <c r="J10" s="378"/>
      <c r="K10" s="278"/>
      <c r="L10" s="378"/>
      <c r="M10" s="278"/>
      <c r="N10" s="382"/>
      <c r="O10" s="278"/>
      <c r="P10" s="378"/>
      <c r="Q10" s="278"/>
      <c r="R10" s="385"/>
      <c r="S10" s="278"/>
      <c r="T10" s="385"/>
      <c r="U10" s="278"/>
      <c r="V10" s="378"/>
      <c r="W10" s="278"/>
      <c r="X10" s="378"/>
    </row>
    <row r="11" spans="1:24" x14ac:dyDescent="0.3">
      <c r="A11" s="169"/>
      <c r="B11" s="168"/>
      <c r="C11" s="169"/>
      <c r="D11" s="382" t="s">
        <v>96</v>
      </c>
      <c r="E11" s="169"/>
      <c r="F11" s="383">
        <v>44685</v>
      </c>
      <c r="G11" s="169"/>
      <c r="H11" s="278"/>
      <c r="I11" s="169"/>
      <c r="J11" s="378"/>
      <c r="K11" s="169"/>
      <c r="L11" s="378"/>
      <c r="M11" s="169"/>
      <c r="N11" s="382" t="s">
        <v>14</v>
      </c>
      <c r="O11" s="169"/>
      <c r="P11" s="378"/>
      <c r="Q11" s="169"/>
      <c r="R11" s="385">
        <v>2</v>
      </c>
      <c r="S11" s="169"/>
      <c r="T11" s="385">
        <v>0</v>
      </c>
      <c r="U11" s="169"/>
      <c r="V11" s="378"/>
      <c r="W11" s="169"/>
      <c r="X11" s="378"/>
    </row>
    <row r="12" spans="1:24" x14ac:dyDescent="0.3">
      <c r="A12" s="278"/>
      <c r="B12" s="278"/>
      <c r="C12" s="278"/>
      <c r="D12" s="382"/>
      <c r="E12" s="278"/>
      <c r="F12" s="383"/>
      <c r="G12" s="278"/>
      <c r="H12" s="278"/>
      <c r="I12" s="278"/>
      <c r="J12" s="378"/>
      <c r="K12" s="278"/>
      <c r="L12" s="378"/>
      <c r="M12" s="278"/>
      <c r="N12" s="382"/>
      <c r="O12" s="278"/>
      <c r="P12" s="378"/>
      <c r="Q12" s="278"/>
      <c r="R12" s="385"/>
      <c r="S12" s="278"/>
      <c r="T12" s="385"/>
      <c r="U12" s="278"/>
      <c r="V12" s="378"/>
      <c r="W12" s="278"/>
      <c r="X12" s="378"/>
    </row>
    <row r="13" spans="1:24" x14ac:dyDescent="0.3">
      <c r="A13" s="169"/>
      <c r="B13" s="170">
        <v>5</v>
      </c>
      <c r="C13" s="169"/>
      <c r="D13" s="382" t="s">
        <v>97</v>
      </c>
      <c r="E13" s="169"/>
      <c r="F13" s="383">
        <v>44685</v>
      </c>
      <c r="G13" s="169"/>
      <c r="H13" s="169" t="s">
        <v>57</v>
      </c>
      <c r="I13" s="169"/>
      <c r="J13" s="382" t="s">
        <v>74</v>
      </c>
      <c r="K13" s="169"/>
      <c r="L13" s="378"/>
      <c r="M13" s="169"/>
      <c r="N13" s="382" t="s">
        <v>14</v>
      </c>
      <c r="O13" s="169"/>
      <c r="P13" s="382" t="s">
        <v>98</v>
      </c>
      <c r="Q13" s="169"/>
      <c r="R13" s="385">
        <v>2</v>
      </c>
      <c r="S13" s="169"/>
      <c r="T13" s="385">
        <v>0</v>
      </c>
      <c r="U13" s="169"/>
      <c r="V13" s="378"/>
      <c r="W13" s="169"/>
      <c r="X13" s="378"/>
    </row>
    <row r="14" spans="1:24" x14ac:dyDescent="0.3">
      <c r="A14" s="278"/>
      <c r="B14" s="278"/>
      <c r="C14" s="278"/>
      <c r="D14" s="382"/>
      <c r="E14" s="278"/>
      <c r="F14" s="383"/>
      <c r="G14" s="278"/>
      <c r="H14" s="278"/>
      <c r="I14" s="278"/>
      <c r="J14" s="382"/>
      <c r="K14" s="278"/>
      <c r="L14" s="378"/>
      <c r="M14" s="278"/>
      <c r="N14" s="382"/>
      <c r="O14" s="278"/>
      <c r="P14" s="382"/>
      <c r="Q14" s="278"/>
      <c r="R14" s="385"/>
      <c r="S14" s="278"/>
      <c r="T14" s="385"/>
      <c r="U14" s="278"/>
      <c r="V14" s="378"/>
      <c r="W14" s="278"/>
      <c r="X14" s="378"/>
    </row>
  </sheetData>
  <mergeCells count="72">
    <mergeCell ref="P13:P14"/>
    <mergeCell ref="R13:R14"/>
    <mergeCell ref="T13:T14"/>
    <mergeCell ref="V13:V14"/>
    <mergeCell ref="X13:X14"/>
    <mergeCell ref="D13:D14"/>
    <mergeCell ref="F13:F14"/>
    <mergeCell ref="J13:J14"/>
    <mergeCell ref="L13:L14"/>
    <mergeCell ref="N13:N14"/>
    <mergeCell ref="A1:A2"/>
    <mergeCell ref="C1:C2"/>
    <mergeCell ref="E1:E2"/>
    <mergeCell ref="G1:G2"/>
    <mergeCell ref="I1:I2"/>
    <mergeCell ref="D5:D6"/>
    <mergeCell ref="F5:F6"/>
    <mergeCell ref="J5:J6"/>
    <mergeCell ref="D3:D4"/>
    <mergeCell ref="F3:F4"/>
    <mergeCell ref="J3:J4"/>
    <mergeCell ref="K1:K2"/>
    <mergeCell ref="V5:V6"/>
    <mergeCell ref="X5:X6"/>
    <mergeCell ref="M1:M2"/>
    <mergeCell ref="O1:O2"/>
    <mergeCell ref="Q1:Q2"/>
    <mergeCell ref="S1:S2"/>
    <mergeCell ref="U1:U2"/>
    <mergeCell ref="W1:W2"/>
    <mergeCell ref="R3:R4"/>
    <mergeCell ref="T3:T4"/>
    <mergeCell ref="V3:V4"/>
    <mergeCell ref="X3:X4"/>
    <mergeCell ref="N5:N6"/>
    <mergeCell ref="P5:P6"/>
    <mergeCell ref="N3:N4"/>
    <mergeCell ref="P3:P4"/>
    <mergeCell ref="R5:R6"/>
    <mergeCell ref="T5:T6"/>
    <mergeCell ref="V11:V12"/>
    <mergeCell ref="X7:X8"/>
    <mergeCell ref="P9:P10"/>
    <mergeCell ref="R9:R10"/>
    <mergeCell ref="T9:T10"/>
    <mergeCell ref="V9:V10"/>
    <mergeCell ref="X9:X10"/>
    <mergeCell ref="P7:P8"/>
    <mergeCell ref="R7:R8"/>
    <mergeCell ref="T7:T8"/>
    <mergeCell ref="V7:V8"/>
    <mergeCell ref="X11:X12"/>
    <mergeCell ref="P11:P12"/>
    <mergeCell ref="R11:R12"/>
    <mergeCell ref="T11:T12"/>
    <mergeCell ref="D11:D12"/>
    <mergeCell ref="F11:F12"/>
    <mergeCell ref="J11:J12"/>
    <mergeCell ref="L11:L12"/>
    <mergeCell ref="N11:N12"/>
    <mergeCell ref="L7:L8"/>
    <mergeCell ref="N7:N8"/>
    <mergeCell ref="L5:L6"/>
    <mergeCell ref="L3:L4"/>
    <mergeCell ref="L9:L10"/>
    <mergeCell ref="N9:N10"/>
    <mergeCell ref="D9:D10"/>
    <mergeCell ref="F9:F10"/>
    <mergeCell ref="J9:J10"/>
    <mergeCell ref="D7:D8"/>
    <mergeCell ref="F7:F8"/>
    <mergeCell ref="J7: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19" sqref="J1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Status Sheet</vt:lpstr>
      <vt:lpstr>Dep,Arr,Act</vt:lpstr>
      <vt:lpstr>Departures</vt:lpstr>
      <vt:lpstr>Arrivals</vt:lpstr>
      <vt:lpstr>New Status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 Service Manager</dc:creator>
  <cp:lastModifiedBy>Guest Service Manager</cp:lastModifiedBy>
  <dcterms:created xsi:type="dcterms:W3CDTF">2022-03-13T12:10:24Z</dcterms:created>
  <dcterms:modified xsi:type="dcterms:W3CDTF">2022-04-06T04:54:38Z</dcterms:modified>
</cp:coreProperties>
</file>